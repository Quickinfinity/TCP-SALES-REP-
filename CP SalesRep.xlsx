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 GraniFlex  " sheetId="1" r:id="rId4"/>
    <sheet state="visible" name="  Metallic Marble Stain  " sheetId="2" r:id="rId5"/>
    <sheet state="visible" name="  Resinous 1 2 3 Flooring  " sheetId="3" r:id="rId6"/>
    <sheet state="visible" name="  Grand Flagstone  " sheetId="4" r:id="rId7"/>
    <sheet state="visible" name="  Tuscan Slate  " sheetId="5" r:id="rId8"/>
    <sheet state="visible" name="  Rustic Concrete Wood  " sheetId="6" r:id="rId9"/>
    <sheet state="visible" name="  CP Sealer  " sheetId="7" r:id="rId10"/>
    <sheet state="visible" name="  Protector Color Flakes  " sheetId="8" r:id="rId11"/>
    <sheet state="visible" name="  Poly Hard  " sheetId="9" r:id="rId12"/>
  </sheets>
  <definedNames/>
  <calcPr/>
  <extLst>
    <ext uri="GoogleSheetsCustomDataVersion2">
      <go:sheetsCustomData xmlns:go="http://customooxmlschemas.google.com/" r:id="rId13" roundtripDataChecksum="H2VtAphbkXGeYWbFJ9NBeOGUJncpC6OeXl8xvbr/d6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ID#AAABplt0UMw
Author    (2025-08-19 12:50:40)
CP Penetrating Hydrophobic Sealer
1 quart (32 oz) 400 sq'
1:9 ratio 1-part sealer to 9-parts water
Makes 2-1/2 gal of sealer</t>
      </text>
    </comment>
  </commentList>
  <extLst>
    <ext uri="GoogleSheetsCustomDataVersion2">
      <go:sheetsCustomData xmlns:go="http://customooxmlschemas.google.com/" r:id="rId1" roundtripDataSignature="AMtx7mjTx8dKtyhiQu41aC+u5DEV2jfGpg=="/>
    </ext>
  </extLst>
</comments>
</file>

<file path=xl/sharedStrings.xml><?xml version="1.0" encoding="utf-8"?>
<sst xmlns="http://schemas.openxmlformats.org/spreadsheetml/2006/main" count="891" uniqueCount="185">
  <si>
    <t>GraniFlex - ColorFlakes</t>
  </si>
  <si>
    <t>GraniFlex - Color Flakes</t>
  </si>
  <si>
    <t xml:space="preserve">Coating </t>
  </si>
  <si>
    <t>Mil</t>
  </si>
  <si>
    <t>Sq' Per Gal</t>
  </si>
  <si>
    <t>Round Caulk Bead Calculator</t>
  </si>
  <si>
    <t>SuperThane</t>
  </si>
  <si>
    <t>PERFECT Poly 90</t>
  </si>
  <si>
    <t>Graniseal</t>
  </si>
  <si>
    <t>Thickness in</t>
  </si>
  <si>
    <t>Thickness</t>
  </si>
  <si>
    <t>Coverage</t>
  </si>
  <si>
    <t xml:space="preserve">Bead Length </t>
  </si>
  <si>
    <t xml:space="preserve"> ft</t>
  </si>
  <si>
    <t xml:space="preserve">Enter sq'  </t>
  </si>
  <si>
    <t xml:space="preserve"> sq'</t>
  </si>
  <si>
    <t xml:space="preserve">Bead Diameter </t>
  </si>
  <si>
    <t xml:space="preserve"> in</t>
  </si>
  <si>
    <t>p00</t>
  </si>
  <si>
    <t>pper200</t>
  </si>
  <si>
    <t xml:space="preserve">Length  </t>
  </si>
  <si>
    <t xml:space="preserve">PermaFlex 1 Coat: </t>
  </si>
  <si>
    <t xml:space="preserve"> gal</t>
  </si>
  <si>
    <t xml:space="preserve">Width  </t>
  </si>
  <si>
    <t xml:space="preserve">LRB </t>
  </si>
  <si>
    <t xml:space="preserve">TAV </t>
  </si>
  <si>
    <t xml:space="preserve">Total Sq'  </t>
  </si>
  <si>
    <t xml:space="preserve">PermaFlex 1 Coat  </t>
  </si>
  <si>
    <t xml:space="preserve">PermaFlex 2nd Coat  </t>
  </si>
  <si>
    <t>Joint - Crack Calculator</t>
  </si>
  <si>
    <t xml:space="preserve">Total PermaFlex  </t>
  </si>
  <si>
    <t>1/32"</t>
  </si>
  <si>
    <t xml:space="preserve">Joint Length </t>
  </si>
  <si>
    <t xml:space="preserve">Mil Thickness  </t>
  </si>
  <si>
    <t xml:space="preserve"> mil</t>
  </si>
  <si>
    <t xml:space="preserve">Joint Width </t>
  </si>
  <si>
    <t xml:space="preserve">LRB Membrane  </t>
  </si>
  <si>
    <t xml:space="preserve">Joint Depth </t>
  </si>
  <si>
    <t>1/16"</t>
  </si>
  <si>
    <t xml:space="preserve">Color Flakes  </t>
  </si>
  <si>
    <t xml:space="preserve"> lbs</t>
  </si>
  <si>
    <t>1/8"</t>
  </si>
  <si>
    <t xml:space="preserve">SuperThane 1st Coat  </t>
  </si>
  <si>
    <t xml:space="preserve">PERFECT Poly 90 1st Coat  </t>
  </si>
  <si>
    <t xml:space="preserve">Graniseal 1st Coat  </t>
  </si>
  <si>
    <t xml:space="preserve">Total Volume: </t>
  </si>
  <si>
    <t xml:space="preserve">SuperThane 2nd Coat: </t>
  </si>
  <si>
    <t xml:space="preserve">PERFECT Poly 90 2nd Coat  </t>
  </si>
  <si>
    <t xml:space="preserve">Graniseal 2nd Coat: </t>
  </si>
  <si>
    <t>3/16"</t>
  </si>
  <si>
    <t xml:space="preserve">LRB: </t>
  </si>
  <si>
    <t xml:space="preserve">Total SuperThane:  </t>
  </si>
  <si>
    <t xml:space="preserve">Total PERFECT Poly 90:  </t>
  </si>
  <si>
    <t xml:space="preserve">Total Graniseal:  </t>
  </si>
  <si>
    <t xml:space="preserve">TAV: </t>
  </si>
  <si>
    <t xml:space="preserve">Get-A-Grip Packs  </t>
  </si>
  <si>
    <t xml:space="preserve"> packs</t>
  </si>
  <si>
    <t xml:space="preserve">One and Done Top Coat:  </t>
  </si>
  <si>
    <t>1/4"</t>
  </si>
  <si>
    <t xml:space="preserve"> tbsp</t>
  </si>
  <si>
    <t>5/16"</t>
  </si>
  <si>
    <t xml:space="preserve"> Tire tracking may occur</t>
  </si>
  <si>
    <t xml:space="preserve">  Not for indoor use</t>
  </si>
  <si>
    <t>3/8"</t>
  </si>
  <si>
    <t>7/16"</t>
  </si>
  <si>
    <t>1/2"</t>
  </si>
  <si>
    <t>3/4"</t>
  </si>
  <si>
    <t>GraniFlex - QUARTZ - 1 Broadcast</t>
  </si>
  <si>
    <t>1"</t>
  </si>
  <si>
    <t>d</t>
  </si>
  <si>
    <t xml:space="preserve">Quartz  </t>
  </si>
  <si>
    <t>GraniFlex - QUARTZ - 2 Broadcasts</t>
  </si>
  <si>
    <t>.</t>
  </si>
  <si>
    <t xml:space="preserve">1st Broadcast Quartz </t>
  </si>
  <si>
    <t xml:space="preserve">SuperThane </t>
  </si>
  <si>
    <t xml:space="preserve">PERFECT Poly 90 </t>
  </si>
  <si>
    <t xml:space="preserve">Graniseal  </t>
  </si>
  <si>
    <t xml:space="preserve">2nd Broadcast Quartz </t>
  </si>
  <si>
    <t xml:space="preserve">Total PermaFlex:  </t>
  </si>
  <si>
    <t xml:space="preserve">TOTAL Quartz:  </t>
  </si>
  <si>
    <t>Metallic Marble Stain</t>
  </si>
  <si>
    <t>Indoor</t>
  </si>
  <si>
    <t xml:space="preserve">     Neat Coat Epoxy</t>
  </si>
  <si>
    <r>
      <rPr>
        <rFont val="Arial"/>
        <b/>
        <color theme="1"/>
        <sz val="11.0"/>
      </rPr>
      <t xml:space="preserve">1. Prime Coat - </t>
    </r>
    <r>
      <rPr>
        <rFont val="Arial"/>
        <b/>
        <color theme="1"/>
        <sz val="10.0"/>
      </rPr>
      <t xml:space="preserve">Neat Coat: </t>
    </r>
  </si>
  <si>
    <t xml:space="preserve">Metallic Pigment: </t>
  </si>
  <si>
    <t xml:space="preserve"> jars</t>
  </si>
  <si>
    <r>
      <rPr>
        <rFont val="Arial"/>
        <b/>
        <color theme="1"/>
        <sz val="11.0"/>
      </rPr>
      <t>2. Money Coat</t>
    </r>
    <r>
      <rPr>
        <rFont val="Arial"/>
        <b/>
        <color theme="1"/>
        <sz val="10.0"/>
      </rPr>
      <t xml:space="preserve"> - Neat Coat: </t>
    </r>
  </si>
  <si>
    <t xml:space="preserve">Total Neat Coat Epoxy: </t>
  </si>
  <si>
    <t xml:space="preserve">Total Pigment:  </t>
  </si>
  <si>
    <t xml:space="preserve">     3. Top Coat</t>
  </si>
  <si>
    <t xml:space="preserve">221 WB Satin Urethane  </t>
  </si>
  <si>
    <t xml:space="preserve">421 SB Gloss Urethane  </t>
  </si>
  <si>
    <t xml:space="preserve">Acrylic Floor Finish  </t>
  </si>
  <si>
    <t xml:space="preserve">Neat Coat  </t>
  </si>
  <si>
    <t>Resinous 1 2 3 Flooring</t>
  </si>
  <si>
    <t>Indoor Only</t>
  </si>
  <si>
    <t xml:space="preserve">1. Base Coat Epoxy </t>
  </si>
  <si>
    <t xml:space="preserve">2. Protectorthane Color Coat </t>
  </si>
  <si>
    <t xml:space="preserve">3. Protectorthane Color Coat </t>
  </si>
  <si>
    <t xml:space="preserve">Total Protectorthane Color Coat: </t>
  </si>
  <si>
    <t>Grand Flagstone</t>
  </si>
  <si>
    <t>Indoor/Outdoor</t>
  </si>
  <si>
    <t>Sealer Options</t>
  </si>
  <si>
    <t xml:space="preserve">Outdoor - 1st Coat - Acrylic 25  </t>
  </si>
  <si>
    <t xml:space="preserve">Outdoor - Optional 2nd Coat - Acrylic 25  </t>
  </si>
  <si>
    <t xml:space="preserve">Total Acrylic:  </t>
  </si>
  <si>
    <t xml:space="preserve">     SMOOTH</t>
  </si>
  <si>
    <t xml:space="preserve">1st Coat - Neat Coat Epoxy:  </t>
  </si>
  <si>
    <t xml:space="preserve">2nd Coat Optional -  Neat Coat Epoxy:  </t>
  </si>
  <si>
    <t xml:space="preserve">     1. Grout Coat</t>
  </si>
  <si>
    <t xml:space="preserve">Total Neat Coat Epoxy:  </t>
  </si>
  <si>
    <t xml:space="preserve">Bags Texture Mix: </t>
  </si>
  <si>
    <t xml:space="preserve"> bags</t>
  </si>
  <si>
    <t xml:space="preserve">WB 4:1   </t>
  </si>
  <si>
    <t xml:space="preserve">Concentrate High Density Resin: </t>
  </si>
  <si>
    <t xml:space="preserve">Black Mineral Pigment: </t>
  </si>
  <si>
    <t xml:space="preserve"> oz</t>
  </si>
  <si>
    <t>Stencil Tape 1/2" and 1/4"</t>
  </si>
  <si>
    <t xml:space="preserve">Stencil Tape - Large Pattern  </t>
  </si>
  <si>
    <t xml:space="preserve"> rolls</t>
  </si>
  <si>
    <t xml:space="preserve">Stencil Tape - Small Pattern  </t>
  </si>
  <si>
    <t xml:space="preserve">     2. Texture Coat</t>
  </si>
  <si>
    <t xml:space="preserve">Buff Mineral Pigment: </t>
  </si>
  <si>
    <t xml:space="preserve">     3. Staining</t>
  </si>
  <si>
    <t xml:space="preserve">Gallons Stain:  </t>
  </si>
  <si>
    <t xml:space="preserve">Total Texture Mix: </t>
  </si>
  <si>
    <t xml:space="preserve">Stencil Tape Large Pattern:  </t>
  </si>
  <si>
    <t xml:space="preserve">Stencil Tape Small Pattern:  </t>
  </si>
  <si>
    <t xml:space="preserve">Total Resin:  </t>
  </si>
  <si>
    <t xml:space="preserve">Total Black Mineral Pigment: </t>
  </si>
  <si>
    <t xml:space="preserve"> qt</t>
  </si>
  <si>
    <t xml:space="preserve">Total Buff Mineral Pigment: </t>
  </si>
  <si>
    <t>Tuscan Slate</t>
  </si>
  <si>
    <t xml:space="preserve">Total Acrylic: </t>
  </si>
  <si>
    <t xml:space="preserve">1st Coat - Neat Coat Epoxy  </t>
  </si>
  <si>
    <t xml:space="preserve">2nd Coat Optional -  Neat Coat Epoxy  </t>
  </si>
  <si>
    <t xml:space="preserve">WB 4:1  </t>
  </si>
  <si>
    <t xml:space="preserve">Get-A-Grip Packs </t>
  </si>
  <si>
    <t xml:space="preserve">     Stencil Tape 1/4" and 1/2"</t>
  </si>
  <si>
    <t xml:space="preserve">Total Resin: </t>
  </si>
  <si>
    <t xml:space="preserve"> quarts</t>
  </si>
  <si>
    <t>Rustic Concrete Wood</t>
  </si>
  <si>
    <t xml:space="preserve"> </t>
  </si>
  <si>
    <t xml:space="preserve">     Stencil Tape 1/4" or 1/2"</t>
  </si>
  <si>
    <t xml:space="preserve">Total Buff Pigment: </t>
  </si>
  <si>
    <t>The Concrete Protector</t>
  </si>
  <si>
    <t>Penetrating Hydrophobic Sealer</t>
  </si>
  <si>
    <t xml:space="preserve">CP Sealer </t>
  </si>
  <si>
    <t xml:space="preserve">Water  </t>
  </si>
  <si>
    <t>Protector Color Flakes</t>
  </si>
  <si>
    <t>Protectorthane</t>
  </si>
  <si>
    <t>Neat Coat</t>
  </si>
  <si>
    <t xml:space="preserve">Base Coat Epoxy </t>
  </si>
  <si>
    <t>gal</t>
  </si>
  <si>
    <t xml:space="preserve">Color Flakes </t>
  </si>
  <si>
    <t xml:space="preserve">Protectorthane 1 Coat  </t>
  </si>
  <si>
    <t xml:space="preserve">Neat Coat 1 Coat  </t>
  </si>
  <si>
    <t xml:space="preserve">Protectorthane 2nd Coat  </t>
  </si>
  <si>
    <t xml:space="preserve">Total Protectorthane:   </t>
  </si>
  <si>
    <t>Seal Coat</t>
  </si>
  <si>
    <t xml:space="preserve">Get-A-Grip Packs WB &amp; WS  </t>
  </si>
  <si>
    <t>QUARTZ - Double Broadcast</t>
  </si>
  <si>
    <t xml:space="preserve">Protectorthane </t>
  </si>
  <si>
    <t xml:space="preserve">Neat Coat </t>
  </si>
  <si>
    <t xml:space="preserve">SuperThane 1st Coat </t>
  </si>
  <si>
    <t xml:space="preserve">PERFECT Poly 90 1st Coat </t>
  </si>
  <si>
    <t xml:space="preserve">Protectorthane 1st Coat </t>
  </si>
  <si>
    <t xml:space="preserve">SuperThane 2nd Coat </t>
  </si>
  <si>
    <t xml:space="preserve">PERFECT Poly 90 2nd Coat </t>
  </si>
  <si>
    <t xml:space="preserve">Protectorthane 2nd Coat </t>
  </si>
  <si>
    <t xml:space="preserve">Total Base Coat Epoxy:  </t>
  </si>
  <si>
    <t xml:space="preserve">Total Quartz:  </t>
  </si>
  <si>
    <t xml:space="preserve">Total Neat Coat:  </t>
  </si>
  <si>
    <t>Poly Hard</t>
  </si>
  <si>
    <t>Poly Hard Decorative Quartz</t>
  </si>
  <si>
    <t>Solid Color</t>
  </si>
  <si>
    <t>Decorative Quartz</t>
  </si>
  <si>
    <t>Double Broadcast</t>
  </si>
  <si>
    <t xml:space="preserve">Poly Hard  </t>
  </si>
  <si>
    <t xml:space="preserve"> kits</t>
  </si>
  <si>
    <t xml:space="preserve">Sand  </t>
  </si>
  <si>
    <t xml:space="preserve">PERFECT Poly 90  </t>
  </si>
  <si>
    <t xml:space="preserve">Poly Fusion Color Pack  </t>
  </si>
  <si>
    <t xml:space="preserve"> qts</t>
  </si>
  <si>
    <t xml:space="preserve">Super Nova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</si>
</sst>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2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Arial"/>
    </font>
    <font/>
    <font>
      <b/>
      <sz val="12.0"/>
      <color theme="0"/>
      <name val="Arial"/>
    </font>
    <font>
      <b/>
      <sz val="11.0"/>
      <color rgb="FFFFFF00"/>
      <name val="Arial"/>
    </font>
    <font>
      <b/>
      <sz val="11.0"/>
      <color rgb="FFDAEEF3"/>
      <name val="Arial"/>
    </font>
    <font>
      <b/>
      <sz val="11.0"/>
      <color rgb="FF00B0F0"/>
      <name val="Arial"/>
    </font>
    <font>
      <b/>
      <i/>
      <sz val="10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FFFFFF"/>
      <name val="Arial"/>
    </font>
    <font>
      <b/>
      <sz val="10.0"/>
      <color theme="0"/>
      <name val="Arial"/>
    </font>
    <font>
      <sz val="10.0"/>
      <color theme="0"/>
      <name val="Arial"/>
    </font>
    <font>
      <sz val="11.0"/>
      <color rgb="FFFF0000"/>
      <name val="Calibri"/>
    </font>
    <font>
      <b/>
      <sz val="11.0"/>
      <color theme="1"/>
      <name val="Arial"/>
    </font>
    <font>
      <b/>
      <i/>
      <sz val="10.0"/>
      <color theme="0"/>
      <name val="Arial"/>
    </font>
    <font>
      <b/>
      <sz val="10.0"/>
      <color rgb="FFFF0000"/>
      <name val="Arial"/>
    </font>
    <font>
      <b/>
      <sz val="11.0"/>
      <color rgb="FFE36C09"/>
      <name val="Arial"/>
    </font>
    <font>
      <b/>
      <sz val="11.0"/>
      <color rgb="FF366092"/>
      <name val="Arial"/>
    </font>
    <font>
      <b/>
      <u/>
      <sz val="12.0"/>
      <color theme="10"/>
      <name val="Arial"/>
    </font>
    <font>
      <sz val="11.0"/>
      <color theme="1"/>
      <name val="Arial"/>
    </font>
    <font>
      <b/>
      <sz val="11.0"/>
      <color rgb="FF244061"/>
      <name val="Arial"/>
    </font>
    <font>
      <b/>
      <sz val="11.0"/>
      <color rgb="FFFF0000"/>
      <name val="Calibri"/>
    </font>
    <font>
      <b/>
      <sz val="10.0"/>
      <color rgb="FF7F7F7F"/>
      <name val="Arial"/>
    </font>
    <font>
      <b/>
      <sz val="11.0"/>
      <color rgb="FFC4BD97"/>
      <name val="Arial"/>
    </font>
    <font>
      <b/>
      <sz val="11.0"/>
      <color rgb="FFE5B8B7"/>
      <name val="Arial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A4B74"/>
        <bgColor rgb="FF2A4B74"/>
      </patternFill>
    </fill>
    <fill>
      <patternFill patternType="solid">
        <fgColor rgb="FF244061"/>
        <bgColor rgb="FF244061"/>
      </patternFill>
    </fill>
    <fill>
      <patternFill patternType="solid">
        <fgColor rgb="FF17365D"/>
        <bgColor rgb="FF17365D"/>
      </patternFill>
    </fill>
    <fill>
      <patternFill patternType="solid">
        <fgColor rgb="FFFFFFFF"/>
        <bgColor rgb="FFFFFFFF"/>
      </patternFill>
    </fill>
  </fills>
  <borders count="41">
    <border/>
    <border>
      <left/>
      <right/>
      <top/>
      <bottom/>
    </border>
    <border>
      <left style="medium">
        <color rgb="FF7F7F7F"/>
      </left>
      <top style="medium">
        <color rgb="FF7F7F7F"/>
      </top>
      <bottom/>
    </border>
    <border>
      <top style="medium">
        <color rgb="FF7F7F7F"/>
      </top>
      <bottom/>
    </border>
    <border>
      <right style="medium">
        <color rgb="FF7F7F7F"/>
      </right>
      <top style="medium">
        <color rgb="FF7F7F7F"/>
      </top>
      <bottom/>
    </border>
    <border>
      <left style="medium">
        <color rgb="FF7F7F7F"/>
      </left>
      <right/>
      <top style="medium">
        <color rgb="FF7F7F7F"/>
      </top>
      <bottom/>
    </border>
    <border>
      <left/>
      <right/>
      <top style="medium">
        <color rgb="FF7F7F7F"/>
      </top>
      <bottom/>
    </border>
    <border>
      <left/>
      <right style="medium">
        <color rgb="FF7F7F7F"/>
      </right>
      <top style="medium">
        <color rgb="FF7F7F7F"/>
      </top>
      <bottom/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top/>
      <bottom style="medium">
        <color rgb="FF7F7F7F"/>
      </bottom>
    </border>
    <border>
      <top/>
      <bottom style="medium">
        <color rgb="FF7F7F7F"/>
      </bottom>
    </border>
    <border>
      <right style="medium">
        <color rgb="FF7F7F7F"/>
      </right>
      <top/>
      <bottom style="medium">
        <color rgb="FF7F7F7F"/>
      </bottom>
    </border>
    <border>
      <left style="medium">
        <color rgb="FF7F7F7F"/>
      </left>
      <right/>
      <top/>
      <bottom style="medium">
        <color rgb="FF7F7F7F"/>
      </bottom>
    </border>
    <border>
      <left/>
      <right/>
      <top/>
      <bottom style="medium">
        <color rgb="FF7F7F7F"/>
      </bottom>
    </border>
    <border>
      <left/>
      <right style="medium">
        <color rgb="FF7F7F7F"/>
      </right>
      <top/>
      <bottom style="medium">
        <color rgb="FF7F7F7F"/>
      </bottom>
    </border>
    <border>
      <left/>
      <right style="medium">
        <color rgb="FF808080"/>
      </right>
      <top/>
      <bottom/>
    </border>
    <border>
      <left style="medium">
        <color rgb="FF7F7F7F"/>
      </left>
      <right/>
      <top/>
      <bottom/>
    </border>
    <border>
      <left/>
      <right/>
      <top style="medium">
        <color rgb="FF7F7F7F"/>
      </top>
      <bottom style="medium">
        <color rgb="FF00B050"/>
      </bottom>
    </border>
    <border>
      <left/>
      <right style="medium">
        <color rgb="FF7F7F7F"/>
      </right>
      <top/>
      <bottom/>
    </border>
    <border>
      <left style="medium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medium">
        <color rgb="FF7F7F7F"/>
      </right>
      <bottom style="thin">
        <color rgb="FF7F7F7F"/>
      </bottom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/>
      <right/>
      <top style="medium">
        <color rgb="FF00B050"/>
      </top>
      <bottom/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</border>
    <border>
      <left/>
      <right/>
      <top/>
      <bottom style="thin">
        <color rgb="FFFF0000"/>
      </bottom>
    </border>
    <border>
      <left/>
      <right/>
      <top style="thin">
        <color rgb="FFFF0000"/>
      </top>
      <bottom style="thin">
        <color rgb="FFFF0000"/>
      </bottom>
    </border>
    <border>
      <left/>
      <right/>
      <top style="thin">
        <color rgb="FFFF0000"/>
      </top>
      <bottom/>
    </border>
    <border>
      <left style="medium">
        <color rgb="FF7F7F7F"/>
      </left>
      <top/>
      <bottom/>
    </border>
    <border>
      <top/>
      <bottom/>
    </border>
    <border>
      <right style="medium">
        <color rgb="FF7F7F7F"/>
      </right>
      <top/>
      <bottom/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horizontal="center"/>
    </xf>
    <xf borderId="6" fillId="4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/>
    </xf>
    <xf borderId="8" fillId="5" fontId="2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3" fontId="5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1" fillId="3" fontId="6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4" fillId="4" fontId="4" numFmtId="0" xfId="0" applyAlignment="1" applyBorder="1" applyFont="1">
      <alignment horizontal="center"/>
    </xf>
    <xf borderId="15" fillId="4" fontId="2" numFmtId="0" xfId="0" applyAlignment="1" applyBorder="1" applyFont="1">
      <alignment horizontal="center"/>
    </xf>
    <xf borderId="16" fillId="4" fontId="2" numFmtId="0" xfId="0" applyAlignment="1" applyBorder="1" applyFont="1">
      <alignment horizontal="center"/>
    </xf>
    <xf borderId="5" fillId="6" fontId="8" numFmtId="0" xfId="0" applyAlignment="1" applyBorder="1" applyFill="1" applyFont="1">
      <alignment horizontal="center"/>
    </xf>
    <xf borderId="1" fillId="6" fontId="9" numFmtId="0" xfId="0" applyBorder="1" applyFont="1"/>
    <xf borderId="17" fillId="6" fontId="9" numFmtId="0" xfId="0" applyBorder="1" applyFont="1"/>
    <xf borderId="18" fillId="2" fontId="10" numFmtId="0" xfId="0" applyAlignment="1" applyBorder="1" applyFont="1">
      <alignment horizontal="right"/>
    </xf>
    <xf borderId="19" fillId="2" fontId="10" numFmtId="1" xfId="0" applyAlignment="1" applyBorder="1" applyFont="1" applyNumberFormat="1">
      <alignment horizontal="right"/>
    </xf>
    <xf borderId="20" fillId="2" fontId="10" numFmtId="0" xfId="0" applyBorder="1" applyFont="1"/>
    <xf borderId="18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0" fillId="2" fontId="2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/>
    </xf>
    <xf borderId="22" fillId="0" fontId="9" numFmtId="0" xfId="0" applyAlignment="1" applyBorder="1" applyFont="1">
      <alignment horizontal="center"/>
    </xf>
    <xf borderId="23" fillId="0" fontId="9" numFmtId="3" xfId="0" applyAlignment="1" applyBorder="1" applyFont="1" applyNumberFormat="1">
      <alignment horizontal="center"/>
    </xf>
    <xf borderId="18" fillId="6" fontId="10" numFmtId="0" xfId="0" applyAlignment="1" applyBorder="1" applyFont="1">
      <alignment horizontal="right"/>
    </xf>
    <xf borderId="24" fillId="6" fontId="10" numFmtId="0" xfId="0" applyAlignment="1" applyBorder="1" applyFont="1">
      <alignment horizontal="right" readingOrder="0"/>
    </xf>
    <xf borderId="17" fillId="6" fontId="10" numFmtId="0" xfId="0" applyBorder="1" applyFont="1"/>
    <xf borderId="24" fillId="2" fontId="10" numFmtId="0" xfId="0" applyAlignment="1" applyBorder="1" applyFont="1">
      <alignment horizontal="right" readingOrder="0"/>
    </xf>
    <xf borderId="1" fillId="2" fontId="10" numFmtId="0" xfId="0" applyBorder="1" applyFont="1"/>
    <xf borderId="25" fillId="0" fontId="9" numFmtId="0" xfId="0" applyAlignment="1" applyBorder="1" applyFont="1">
      <alignment horizontal="center"/>
    </xf>
    <xf borderId="26" fillId="0" fontId="9" numFmtId="0" xfId="0" applyAlignment="1" applyBorder="1" applyFont="1">
      <alignment horizontal="center"/>
    </xf>
    <xf borderId="27" fillId="0" fontId="9" numFmtId="0" xfId="0" applyAlignment="1" applyBorder="1" applyFont="1">
      <alignment horizontal="center"/>
    </xf>
    <xf borderId="18" fillId="6" fontId="10" numFmtId="164" xfId="0" applyAlignment="1" applyBorder="1" applyFont="1" applyNumberFormat="1">
      <alignment horizontal="right"/>
    </xf>
    <xf borderId="1" fillId="2" fontId="11" numFmtId="0" xfId="0" applyAlignment="1" applyBorder="1" applyFont="1">
      <alignment horizontal="center" readingOrder="0" vertical="center"/>
    </xf>
    <xf borderId="18" fillId="2" fontId="12" numFmtId="0" xfId="0" applyAlignment="1" applyBorder="1" applyFont="1">
      <alignment horizontal="right"/>
    </xf>
    <xf borderId="1" fillId="2" fontId="13" numFmtId="4" xfId="0" applyAlignment="1" applyBorder="1" applyFont="1" applyNumberFormat="1">
      <alignment horizontal="right"/>
    </xf>
    <xf borderId="17" fillId="2" fontId="13" numFmtId="0" xfId="0" applyBorder="1" applyFont="1"/>
    <xf borderId="24" fillId="2" fontId="10" numFmtId="1" xfId="0" applyAlignment="1" applyBorder="1" applyFont="1" applyNumberFormat="1">
      <alignment horizontal="right" readingOrder="0"/>
    </xf>
    <xf borderId="24" fillId="2" fontId="10" numFmtId="1" xfId="0" applyAlignment="1" applyBorder="1" applyFont="1" applyNumberFormat="1">
      <alignment horizontal="right"/>
    </xf>
    <xf borderId="28" fillId="6" fontId="10" numFmtId="4" xfId="0" applyBorder="1" applyFont="1" applyNumberFormat="1"/>
    <xf borderId="17" fillId="6" fontId="10" numFmtId="2" xfId="0" applyBorder="1" applyFont="1" applyNumberFormat="1"/>
    <xf borderId="1" fillId="2" fontId="10" numFmtId="1" xfId="0" applyAlignment="1" applyBorder="1" applyFont="1" applyNumberFormat="1">
      <alignment horizontal="right"/>
    </xf>
    <xf borderId="29" fillId="2" fontId="10" numFmtId="1" xfId="0" applyAlignment="1" applyBorder="1" applyFont="1" applyNumberFormat="1">
      <alignment horizontal="right"/>
    </xf>
    <xf borderId="28" fillId="2" fontId="10" numFmtId="4" xfId="0" applyAlignment="1" applyBorder="1" applyFont="1" applyNumberFormat="1">
      <alignment horizontal="right"/>
    </xf>
    <xf borderId="20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4" fillId="2" fontId="9" numFmtId="0" xfId="0" applyBorder="1" applyFont="1"/>
    <xf borderId="15" fillId="2" fontId="9" numFmtId="0" xfId="0" applyBorder="1" applyFont="1"/>
    <xf borderId="16" fillId="2" fontId="9" numFmtId="0" xfId="0" applyBorder="1" applyFont="1"/>
    <xf borderId="28" fillId="2" fontId="10" numFmtId="2" xfId="0" applyAlignment="1" applyBorder="1" applyFont="1" applyNumberFormat="1">
      <alignment horizontal="right"/>
    </xf>
    <xf borderId="1" fillId="2" fontId="14" numFmtId="0" xfId="0" applyBorder="1" applyFont="1"/>
    <xf borderId="1" fillId="2" fontId="9" numFmtId="0" xfId="0" applyBorder="1" applyFont="1"/>
    <xf borderId="18" fillId="2" fontId="15" numFmtId="0" xfId="0" applyAlignment="1" applyBorder="1" applyFont="1">
      <alignment horizontal="right"/>
    </xf>
    <xf borderId="18" fillId="2" fontId="16" numFmtId="0" xfId="0" applyAlignment="1" applyBorder="1" applyFont="1">
      <alignment horizontal="center"/>
    </xf>
    <xf borderId="1" fillId="2" fontId="13" numFmtId="0" xfId="0" applyBorder="1" applyFont="1"/>
    <xf borderId="1" fillId="2" fontId="9" numFmtId="2" xfId="0" applyAlignment="1" applyBorder="1" applyFont="1" applyNumberFormat="1">
      <alignment horizontal="right"/>
    </xf>
    <xf borderId="1" fillId="2" fontId="9" numFmtId="165" xfId="0" applyAlignment="1" applyBorder="1" applyFont="1" applyNumberFormat="1">
      <alignment horizontal="right"/>
    </xf>
    <xf borderId="1" fillId="2" fontId="10" numFmtId="0" xfId="0" applyAlignment="1" applyBorder="1" applyFont="1">
      <alignment horizontal="left"/>
    </xf>
    <xf borderId="1" fillId="6" fontId="10" numFmtId="0" xfId="0" applyAlignment="1" applyBorder="1" applyFont="1">
      <alignment horizontal="right"/>
    </xf>
    <xf borderId="28" fillId="2" fontId="10" numFmtId="3" xfId="0" applyAlignment="1" applyBorder="1" applyFont="1" applyNumberFormat="1">
      <alignment horizontal="right"/>
    </xf>
    <xf borderId="20" fillId="2" fontId="10" numFmtId="0" xfId="0" applyAlignment="1" applyBorder="1" applyFont="1">
      <alignment horizontal="left"/>
    </xf>
    <xf borderId="28" fillId="6" fontId="10" numFmtId="2" xfId="0" applyBorder="1" applyFont="1" applyNumberFormat="1"/>
    <xf borderId="1" fillId="2" fontId="10" numFmtId="2" xfId="0" applyAlignment="1" applyBorder="1" applyFont="1" applyNumberFormat="1">
      <alignment horizontal="right"/>
    </xf>
    <xf borderId="30" fillId="6" fontId="9" numFmtId="0" xfId="0" applyBorder="1" applyFont="1"/>
    <xf borderId="31" fillId="6" fontId="9" numFmtId="0" xfId="0" applyBorder="1" applyFont="1"/>
    <xf borderId="1" fillId="2" fontId="10" numFmtId="0" xfId="0" applyAlignment="1" applyBorder="1" applyFont="1">
      <alignment horizontal="center"/>
    </xf>
    <xf borderId="14" fillId="2" fontId="17" numFmtId="0" xfId="0" applyAlignment="1" applyBorder="1" applyFont="1">
      <alignment horizontal="left"/>
    </xf>
    <xf borderId="15" fillId="2" fontId="9" numFmtId="165" xfId="0" applyBorder="1" applyFont="1" applyNumberFormat="1"/>
    <xf borderId="14" fillId="2" fontId="10" numFmtId="0" xfId="0" applyAlignment="1" applyBorder="1" applyFont="1">
      <alignment horizontal="right"/>
    </xf>
    <xf borderId="32" fillId="0" fontId="9" numFmtId="0" xfId="0" applyAlignment="1" applyBorder="1" applyFont="1">
      <alignment horizontal="center"/>
    </xf>
    <xf borderId="33" fillId="0" fontId="9" numFmtId="3" xfId="0" applyAlignment="1" applyBorder="1" applyFont="1" applyNumberFormat="1">
      <alignment horizontal="center"/>
    </xf>
    <xf borderId="34" fillId="0" fontId="9" numFmtId="0" xfId="0" applyAlignment="1" applyBorder="1" applyFont="1">
      <alignment horizontal="center"/>
    </xf>
    <xf borderId="1" fillId="2" fontId="1" numFmtId="0" xfId="0" applyAlignment="1" applyBorder="1" applyFont="1">
      <alignment readingOrder="0"/>
    </xf>
    <xf borderId="24" fillId="2" fontId="10" numFmtId="0" xfId="0" applyAlignment="1" applyBorder="1" applyFont="1">
      <alignment horizontal="right"/>
    </xf>
    <xf borderId="35" fillId="2" fontId="10" numFmtId="2" xfId="0" applyAlignment="1" applyBorder="1" applyFont="1" applyNumberFormat="1">
      <alignment horizontal="right"/>
    </xf>
    <xf borderId="11" fillId="3" fontId="2" numFmtId="0" xfId="0" applyAlignment="1" applyBorder="1" applyFont="1">
      <alignment horizontal="center" vertical="center"/>
    </xf>
    <xf borderId="24" fillId="2" fontId="10" numFmtId="165" xfId="0" applyAlignment="1" applyBorder="1" applyFont="1" applyNumberFormat="1">
      <alignment horizontal="right" readingOrder="0"/>
    </xf>
    <xf borderId="18" fillId="2" fontId="15" numFmtId="0" xfId="0" applyAlignment="1" applyBorder="1" applyFont="1">
      <alignment horizontal="left"/>
    </xf>
    <xf borderId="36" fillId="2" fontId="10" numFmtId="4" xfId="0" applyAlignment="1" applyBorder="1" applyFont="1" applyNumberFormat="1">
      <alignment horizontal="right"/>
    </xf>
    <xf borderId="36" fillId="2" fontId="10" numFmtId="2" xfId="0" applyAlignment="1" applyBorder="1" applyFont="1" applyNumberFormat="1">
      <alignment horizontal="right"/>
    </xf>
    <xf borderId="18" fillId="2" fontId="18" numFmtId="0" xfId="0" applyAlignment="1" applyBorder="1" applyFont="1">
      <alignment horizontal="right"/>
    </xf>
    <xf borderId="18" fillId="2" fontId="19" numFmtId="0" xfId="0" applyAlignment="1" applyBorder="1" applyFont="1">
      <alignment horizontal="right"/>
    </xf>
    <xf borderId="37" fillId="2" fontId="10" numFmtId="4" xfId="0" applyAlignment="1" applyBorder="1" applyFont="1" applyNumberFormat="1">
      <alignment horizontal="right"/>
    </xf>
    <xf borderId="18" fillId="2" fontId="15" numFmtId="0" xfId="0" applyAlignment="1" applyBorder="1" applyFont="1">
      <alignment horizontal="left" readingOrder="0"/>
    </xf>
    <xf borderId="1" fillId="2" fontId="20" numFmtId="0" xfId="0" applyBorder="1" applyFont="1"/>
    <xf borderId="1" fillId="2" fontId="21" numFmtId="0" xfId="0" applyBorder="1" applyFont="1"/>
    <xf borderId="0" fillId="0" fontId="21" numFmtId="0" xfId="0" applyFont="1"/>
    <xf borderId="18" fillId="2" fontId="22" numFmtId="0" xfId="0" applyAlignment="1" applyBorder="1" applyFont="1">
      <alignment horizontal="right"/>
    </xf>
    <xf borderId="6" fillId="2" fontId="10" numFmtId="1" xfId="0" applyAlignment="1" applyBorder="1" applyFont="1" applyNumberFormat="1">
      <alignment horizontal="right"/>
    </xf>
    <xf borderId="24" fillId="2" fontId="10" numFmtId="165" xfId="0" applyAlignment="1" applyBorder="1" applyFont="1" applyNumberFormat="1">
      <alignment readingOrder="0"/>
    </xf>
    <xf borderId="1" fillId="2" fontId="23" numFmtId="0" xfId="0" applyAlignment="1" applyBorder="1" applyFont="1">
      <alignment horizontal="right"/>
    </xf>
    <xf borderId="20" fillId="2" fontId="10" numFmtId="0" xfId="0" applyAlignment="1" applyBorder="1" applyFont="1">
      <alignment horizontal="left" vertical="center"/>
    </xf>
    <xf borderId="16" fillId="2" fontId="10" numFmtId="0" xfId="0" applyAlignment="1" applyBorder="1" applyFont="1">
      <alignment horizontal="left"/>
    </xf>
    <xf borderId="18" fillId="2" fontId="15" numFmtId="0" xfId="0" applyAlignment="1" applyBorder="1" applyFont="1">
      <alignment horizontal="center" readingOrder="0"/>
    </xf>
    <xf borderId="20" fillId="2" fontId="24" numFmtId="0" xfId="0" applyBorder="1" applyFont="1"/>
    <xf borderId="24" fillId="2" fontId="10" numFmtId="3" xfId="0" applyAlignment="1" applyBorder="1" applyFont="1" applyNumberFormat="1">
      <alignment horizontal="right" readingOrder="0"/>
    </xf>
    <xf borderId="20" fillId="2" fontId="10" numFmtId="0" xfId="0" applyAlignment="1" applyBorder="1" applyFont="1">
      <alignment readingOrder="0"/>
    </xf>
    <xf borderId="24" fillId="2" fontId="10" numFmtId="4" xfId="0" applyAlignment="1" applyBorder="1" applyFont="1" applyNumberFormat="1">
      <alignment horizontal="right"/>
    </xf>
    <xf borderId="1" fillId="2" fontId="10" numFmtId="4" xfId="0" applyAlignment="1" applyBorder="1" applyFont="1" applyNumberFormat="1">
      <alignment horizontal="right"/>
    </xf>
    <xf borderId="24" fillId="2" fontId="10" numFmtId="4" xfId="0" applyAlignment="1" applyBorder="1" applyFont="1" applyNumberFormat="1">
      <alignment horizontal="right" readingOrder="0"/>
    </xf>
    <xf borderId="1" fillId="2" fontId="2" numFmtId="4" xfId="0" applyAlignment="1" applyBorder="1" applyFont="1" applyNumberFormat="1">
      <alignment horizontal="center" vertical="center"/>
    </xf>
    <xf borderId="11" fillId="3" fontId="25" numFmtId="0" xfId="0" applyAlignment="1" applyBorder="1" applyFont="1">
      <alignment horizontal="center" vertical="center"/>
    </xf>
    <xf borderId="11" fillId="3" fontId="26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/>
    </xf>
    <xf borderId="37" fillId="2" fontId="10" numFmtId="2" xfId="0" applyAlignment="1" applyBorder="1" applyFont="1" applyNumberFormat="1">
      <alignment horizontal="right"/>
    </xf>
    <xf borderId="18" fillId="2" fontId="27" numFmtId="0" xfId="0" applyAlignment="1" applyBorder="1" applyFont="1">
      <alignment horizontal="center"/>
    </xf>
    <xf borderId="20" fillId="2" fontId="10" numFmtId="0" xfId="0" applyAlignment="1" applyBorder="1" applyFont="1">
      <alignment horizontal="center"/>
    </xf>
    <xf borderId="16" fillId="2" fontId="10" numFmtId="0" xfId="0" applyBorder="1" applyFont="1"/>
    <xf borderId="1" fillId="2" fontId="10" numFmtId="0" xfId="0" applyAlignment="1" applyBorder="1" applyFont="1">
      <alignment horizontal="right"/>
    </xf>
    <xf borderId="1" fillId="2" fontId="9" numFmtId="165" xfId="0" applyBorder="1" applyFont="1" applyNumberFormat="1"/>
    <xf borderId="38" fillId="3" fontId="2" numFmtId="0" xfId="0" applyAlignment="1" applyBorder="1" applyFont="1">
      <alignment horizontal="center" vertical="center"/>
    </xf>
    <xf borderId="39" fillId="0" fontId="3" numFmtId="0" xfId="0" applyBorder="1" applyFont="1"/>
    <xf borderId="40" fillId="0" fontId="3" numFmtId="0" xfId="0" applyBorder="1" applyFont="1"/>
    <xf borderId="2" fillId="3" fontId="2" numFmtId="0" xfId="0" applyAlignment="1" applyBorder="1" applyFont="1">
      <alignment horizontal="center"/>
    </xf>
    <xf borderId="11" fillId="3" fontId="2" numFmtId="0" xfId="0" applyAlignment="1" applyBorder="1" applyFont="1">
      <alignment horizontal="center" vertical="top"/>
    </xf>
    <xf borderId="20" fillId="2" fontId="15" numFmtId="0" xfId="0" applyAlignment="1" applyBorder="1" applyFont="1">
      <alignment horizontal="left" vertical="center"/>
    </xf>
    <xf borderId="20" fillId="2" fontId="2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86"/>
    <col customWidth="1" min="4" max="4" width="7.29"/>
    <col customWidth="1" min="5" max="5" width="5.57"/>
    <col customWidth="1" min="6" max="6" width="28.14"/>
    <col customWidth="1" min="7" max="7" width="7.86"/>
    <col customWidth="1" min="8" max="8" width="7.29"/>
    <col customWidth="1" min="9" max="9" width="5.57"/>
    <col customWidth="1" min="10" max="10" width="26.86"/>
    <col customWidth="1" min="11" max="11" width="7.86"/>
    <col customWidth="1" min="12" max="12" width="7.29"/>
    <col customWidth="1" min="13" max="13" width="5.57"/>
    <col customWidth="1" min="14" max="14" width="15.71"/>
    <col customWidth="1" min="15" max="15" width="11.86"/>
    <col customWidth="1" min="16" max="16" width="13.43"/>
    <col customWidth="1" min="17" max="17" width="5.43"/>
    <col customWidth="1" min="18" max="18" width="19.29"/>
    <col customWidth="1" min="19" max="19" width="7.43"/>
    <col customWidth="1" min="20" max="20" width="5.86"/>
    <col customWidth="1" min="21" max="21" width="5.57"/>
    <col customWidth="1" min="22" max="22" width="19.29"/>
    <col customWidth="1" min="23" max="23" width="7.43"/>
    <col customWidth="1" min="24" max="24" width="5.86"/>
    <col customWidth="1" min="25" max="40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2" t="s">
        <v>0</v>
      </c>
      <c r="C2" s="3"/>
      <c r="D2" s="4"/>
      <c r="E2" s="1"/>
      <c r="F2" s="2" t="s">
        <v>1</v>
      </c>
      <c r="G2" s="3"/>
      <c r="H2" s="4"/>
      <c r="I2" s="1"/>
      <c r="J2" s="2" t="s">
        <v>0</v>
      </c>
      <c r="K2" s="3"/>
      <c r="L2" s="4"/>
      <c r="M2" s="1"/>
      <c r="N2" s="5" t="s">
        <v>2</v>
      </c>
      <c r="O2" s="6" t="s">
        <v>3</v>
      </c>
      <c r="P2" s="7" t="s">
        <v>4</v>
      </c>
      <c r="Q2" s="1"/>
      <c r="R2" s="8" t="s">
        <v>5</v>
      </c>
      <c r="S2" s="9"/>
      <c r="T2" s="10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>
      <c r="A3" s="1"/>
      <c r="B3" s="11" t="s">
        <v>6</v>
      </c>
      <c r="C3" s="12"/>
      <c r="D3" s="13"/>
      <c r="E3" s="1"/>
      <c r="F3" s="14" t="s">
        <v>7</v>
      </c>
      <c r="G3" s="12"/>
      <c r="H3" s="13"/>
      <c r="I3" s="1"/>
      <c r="J3" s="15" t="s">
        <v>8</v>
      </c>
      <c r="K3" s="12"/>
      <c r="L3" s="13"/>
      <c r="M3" s="1"/>
      <c r="N3" s="16" t="s">
        <v>9</v>
      </c>
      <c r="O3" s="17" t="s">
        <v>10</v>
      </c>
      <c r="P3" s="18" t="s">
        <v>11</v>
      </c>
      <c r="Q3" s="1"/>
      <c r="R3" s="19"/>
      <c r="S3" s="20"/>
      <c r="T3" s="2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>
      <c r="A4" s="1"/>
      <c r="B4" s="22"/>
      <c r="C4" s="23"/>
      <c r="D4" s="24"/>
      <c r="E4" s="1"/>
      <c r="F4" s="25"/>
      <c r="G4" s="26"/>
      <c r="H4" s="27"/>
      <c r="I4" s="26"/>
      <c r="J4" s="22"/>
      <c r="K4" s="23"/>
      <c r="L4" s="24"/>
      <c r="M4" s="1"/>
      <c r="N4" s="28">
        <v>0.001</v>
      </c>
      <c r="O4" s="29">
        <v>1.0</v>
      </c>
      <c r="P4" s="30">
        <v>1604.0</v>
      </c>
      <c r="Q4" s="1"/>
      <c r="R4" s="31" t="s">
        <v>12</v>
      </c>
      <c r="S4" s="32">
        <v>40.0</v>
      </c>
      <c r="T4" s="33" t="s">
        <v>13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>
      <c r="A5" s="1"/>
      <c r="B5" s="22" t="s">
        <v>14</v>
      </c>
      <c r="C5" s="34"/>
      <c r="D5" s="24" t="s">
        <v>15</v>
      </c>
      <c r="E5" s="1"/>
      <c r="F5" s="22" t="s">
        <v>14</v>
      </c>
      <c r="G5" s="34">
        <v>2000.0</v>
      </c>
      <c r="H5" s="24"/>
      <c r="I5" s="35"/>
      <c r="J5" s="22" t="s">
        <v>14</v>
      </c>
      <c r="K5" s="34">
        <v>500.0</v>
      </c>
      <c r="L5" s="24" t="s">
        <v>15</v>
      </c>
      <c r="M5" s="1"/>
      <c r="N5" s="36">
        <v>0.002</v>
      </c>
      <c r="O5" s="37">
        <v>2.0</v>
      </c>
      <c r="P5" s="38">
        <v>802.0</v>
      </c>
      <c r="Q5" s="1"/>
      <c r="R5" s="39" t="s">
        <v>16</v>
      </c>
      <c r="S5" s="32">
        <v>1.0</v>
      </c>
      <c r="T5" s="33" t="s">
        <v>17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"/>
      <c r="B6" s="25"/>
      <c r="C6" s="40" t="s">
        <v>18</v>
      </c>
      <c r="D6" s="27"/>
      <c r="E6" s="1"/>
      <c r="F6" s="22"/>
      <c r="G6" s="40" t="s">
        <v>19</v>
      </c>
      <c r="H6" s="24"/>
      <c r="I6" s="35"/>
      <c r="J6" s="25"/>
      <c r="K6" s="26"/>
      <c r="L6" s="27"/>
      <c r="M6" s="1"/>
      <c r="N6" s="36">
        <v>0.003</v>
      </c>
      <c r="O6" s="37">
        <v>3.5</v>
      </c>
      <c r="P6" s="38">
        <v>458.3</v>
      </c>
      <c r="Q6" s="1"/>
      <c r="R6" s="41">
        <f>3.14159*S6*S6*(S4*12)/231</f>
        <v>1.631994805</v>
      </c>
      <c r="S6" s="42">
        <f>IF(S5&lt;&gt;0,S5/2,0)</f>
        <v>0.5</v>
      </c>
      <c r="T6" s="4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>
      <c r="A7" s="1"/>
      <c r="B7" s="22" t="s">
        <v>20</v>
      </c>
      <c r="C7" s="44"/>
      <c r="D7" s="24" t="s">
        <v>13</v>
      </c>
      <c r="E7" s="1"/>
      <c r="F7" s="22" t="s">
        <v>20</v>
      </c>
      <c r="G7" s="45"/>
      <c r="H7" s="24" t="s">
        <v>13</v>
      </c>
      <c r="I7" s="35"/>
      <c r="J7" s="22" t="s">
        <v>20</v>
      </c>
      <c r="K7" s="44">
        <v>30.0</v>
      </c>
      <c r="L7" s="24" t="s">
        <v>13</v>
      </c>
      <c r="M7" s="1"/>
      <c r="N7" s="36">
        <v>0.005</v>
      </c>
      <c r="O7" s="37">
        <v>5.0</v>
      </c>
      <c r="P7" s="38">
        <v>320.8</v>
      </c>
      <c r="Q7" s="1"/>
      <c r="R7" s="31" t="s">
        <v>21</v>
      </c>
      <c r="S7" s="46">
        <f>(S4*0.666666666666666)/200</f>
        <v>0.1333333333</v>
      </c>
      <c r="T7" s="47" t="s">
        <v>22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>
      <c r="A8" s="1"/>
      <c r="B8" s="22" t="s">
        <v>23</v>
      </c>
      <c r="C8" s="44"/>
      <c r="D8" s="24" t="s">
        <v>13</v>
      </c>
      <c r="E8" s="1"/>
      <c r="F8" s="22" t="s">
        <v>23</v>
      </c>
      <c r="G8" s="45"/>
      <c r="H8" s="24" t="s">
        <v>13</v>
      </c>
      <c r="I8" s="35"/>
      <c r="J8" s="22" t="s">
        <v>23</v>
      </c>
      <c r="K8" s="44">
        <v>30.0</v>
      </c>
      <c r="L8" s="24" t="s">
        <v>13</v>
      </c>
      <c r="M8" s="1"/>
      <c r="N8" s="36">
        <v>0.068</v>
      </c>
      <c r="O8" s="37">
        <v>6.68</v>
      </c>
      <c r="P8" s="38">
        <v>240.1</v>
      </c>
      <c r="Q8" s="1"/>
      <c r="R8" s="31" t="s">
        <v>24</v>
      </c>
      <c r="S8" s="46">
        <f>S9*2</f>
        <v>1.087996537</v>
      </c>
      <c r="T8" s="47" t="s">
        <v>22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>
      <c r="A9" s="1"/>
      <c r="B9" s="22"/>
      <c r="C9" s="48"/>
      <c r="D9" s="24"/>
      <c r="E9" s="1"/>
      <c r="F9" s="22"/>
      <c r="G9" s="49"/>
      <c r="H9" s="24"/>
      <c r="I9" s="35"/>
      <c r="J9" s="22"/>
      <c r="K9" s="48"/>
      <c r="L9" s="24"/>
      <c r="M9" s="1"/>
      <c r="N9" s="36">
        <v>0.085</v>
      </c>
      <c r="O9" s="37">
        <v>8.5</v>
      </c>
      <c r="P9" s="38">
        <v>200.0</v>
      </c>
      <c r="Q9" s="1"/>
      <c r="R9" s="31" t="s">
        <v>25</v>
      </c>
      <c r="S9" s="46">
        <f>R6/3</f>
        <v>0.5439982684</v>
      </c>
      <c r="T9" s="47" t="s">
        <v>22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>
      <c r="A10" s="1"/>
      <c r="B10" s="22" t="s">
        <v>26</v>
      </c>
      <c r="C10" s="50">
        <f>(C7*C8)+C5</f>
        <v>0</v>
      </c>
      <c r="D10" s="51" t="s">
        <v>15</v>
      </c>
      <c r="E10" s="1"/>
      <c r="F10" s="22" t="s">
        <v>26</v>
      </c>
      <c r="G10" s="50">
        <f>(G7*G8)+G5</f>
        <v>2000</v>
      </c>
      <c r="H10" s="51" t="s">
        <v>15</v>
      </c>
      <c r="I10" s="52"/>
      <c r="J10" s="22" t="s">
        <v>26</v>
      </c>
      <c r="K10" s="50">
        <f>(K7*K8)+K5</f>
        <v>1400</v>
      </c>
      <c r="L10" s="51" t="s">
        <v>15</v>
      </c>
      <c r="M10" s="1"/>
      <c r="N10" s="36">
        <v>0.01</v>
      </c>
      <c r="O10" s="37">
        <v>10.0</v>
      </c>
      <c r="P10" s="38">
        <v>160.4</v>
      </c>
      <c r="Q10" s="1"/>
      <c r="R10" s="53"/>
      <c r="S10" s="54"/>
      <c r="T10" s="55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>
      <c r="A11" s="1"/>
      <c r="B11" s="22" t="s">
        <v>27</v>
      </c>
      <c r="C11" s="56">
        <f>C10/200</f>
        <v>0</v>
      </c>
      <c r="D11" s="24" t="s">
        <v>22</v>
      </c>
      <c r="E11" s="1"/>
      <c r="F11" s="22" t="s">
        <v>27</v>
      </c>
      <c r="G11" s="56">
        <f>G10/200</f>
        <v>10</v>
      </c>
      <c r="H11" s="24" t="s">
        <v>22</v>
      </c>
      <c r="I11" s="35"/>
      <c r="J11" s="22" t="s">
        <v>27</v>
      </c>
      <c r="K11" s="56">
        <f>K10/200</f>
        <v>7</v>
      </c>
      <c r="L11" s="24" t="s">
        <v>22</v>
      </c>
      <c r="M11" s="1"/>
      <c r="N11" s="36">
        <v>0.015</v>
      </c>
      <c r="O11" s="37">
        <v>15.0</v>
      </c>
      <c r="P11" s="38">
        <v>106.9</v>
      </c>
      <c r="Q11" s="57"/>
      <c r="R11" s="58"/>
      <c r="S11" s="58"/>
      <c r="T11" s="58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>
      <c r="A12" s="1"/>
      <c r="B12" s="22" t="s">
        <v>28</v>
      </c>
      <c r="C12" s="56">
        <f>C10/200</f>
        <v>0</v>
      </c>
      <c r="D12" s="24" t="s">
        <v>22</v>
      </c>
      <c r="E12" s="1"/>
      <c r="F12" s="22" t="s">
        <v>28</v>
      </c>
      <c r="G12" s="56">
        <f>G10/200</f>
        <v>10</v>
      </c>
      <c r="H12" s="24" t="s">
        <v>22</v>
      </c>
      <c r="I12" s="35"/>
      <c r="J12" s="22" t="s">
        <v>28</v>
      </c>
      <c r="K12" s="56">
        <f>K10/200</f>
        <v>7</v>
      </c>
      <c r="L12" s="24" t="s">
        <v>22</v>
      </c>
      <c r="M12" s="1"/>
      <c r="N12" s="36">
        <v>0.02</v>
      </c>
      <c r="O12" s="37">
        <v>20.0</v>
      </c>
      <c r="P12" s="38">
        <v>80.2</v>
      </c>
      <c r="Q12" s="57"/>
      <c r="R12" s="8" t="s">
        <v>29</v>
      </c>
      <c r="S12" s="9"/>
      <c r="T12" s="10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>
      <c r="A13" s="1"/>
      <c r="B13" s="59" t="s">
        <v>30</v>
      </c>
      <c r="C13" s="56">
        <f>C11+C12</f>
        <v>0</v>
      </c>
      <c r="D13" s="24" t="s">
        <v>22</v>
      </c>
      <c r="E13" s="1"/>
      <c r="F13" s="59" t="s">
        <v>30</v>
      </c>
      <c r="G13" s="56">
        <f>G11+G12</f>
        <v>20</v>
      </c>
      <c r="H13" s="24" t="s">
        <v>22</v>
      </c>
      <c r="I13" s="35"/>
      <c r="J13" s="59" t="s">
        <v>30</v>
      </c>
      <c r="K13" s="56">
        <f>K11+K12</f>
        <v>14</v>
      </c>
      <c r="L13" s="24" t="s">
        <v>22</v>
      </c>
      <c r="M13" s="1"/>
      <c r="N13" s="36">
        <v>0.03</v>
      </c>
      <c r="O13" s="37">
        <v>30.0</v>
      </c>
      <c r="P13" s="38">
        <v>53.5</v>
      </c>
      <c r="Q13" s="1"/>
      <c r="R13" s="60">
        <f>(2*S16)+(S15)+4</f>
        <v>6.5</v>
      </c>
      <c r="S13" s="61">
        <f>R13/12</f>
        <v>0.5416666667</v>
      </c>
      <c r="T13" s="43">
        <f>S13*S14</f>
        <v>37.91666667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>
      <c r="A14" s="1"/>
      <c r="B14" s="22"/>
      <c r="C14" s="62"/>
      <c r="D14" s="24"/>
      <c r="E14" s="1"/>
      <c r="F14" s="22"/>
      <c r="G14" s="62"/>
      <c r="H14" s="24"/>
      <c r="I14" s="35"/>
      <c r="J14" s="22"/>
      <c r="K14" s="62"/>
      <c r="L14" s="24"/>
      <c r="M14" s="1"/>
      <c r="N14" s="36" t="s">
        <v>31</v>
      </c>
      <c r="O14" s="37">
        <v>31.25</v>
      </c>
      <c r="P14" s="38">
        <v>51.3</v>
      </c>
      <c r="Q14" s="1"/>
      <c r="R14" s="31" t="s">
        <v>32</v>
      </c>
      <c r="S14" s="32">
        <v>70.0</v>
      </c>
      <c r="T14" s="33" t="s">
        <v>13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>
      <c r="A15" s="1"/>
      <c r="B15" s="22" t="s">
        <v>33</v>
      </c>
      <c r="C15" s="34">
        <v>40.0</v>
      </c>
      <c r="D15" s="24" t="s">
        <v>34</v>
      </c>
      <c r="E15" s="1"/>
      <c r="F15" s="22" t="s">
        <v>33</v>
      </c>
      <c r="G15" s="34">
        <v>40.0</v>
      </c>
      <c r="H15" s="24" t="s">
        <v>34</v>
      </c>
      <c r="I15" s="35"/>
      <c r="J15" s="22" t="s">
        <v>33</v>
      </c>
      <c r="K15" s="34">
        <v>40.0</v>
      </c>
      <c r="L15" s="24" t="s">
        <v>34</v>
      </c>
      <c r="M15" s="1"/>
      <c r="N15" s="36">
        <v>0.04</v>
      </c>
      <c r="O15" s="37">
        <v>40.0</v>
      </c>
      <c r="P15" s="38">
        <v>40.1</v>
      </c>
      <c r="Q15" s="1"/>
      <c r="R15" s="39" t="s">
        <v>35</v>
      </c>
      <c r="S15" s="32">
        <v>0.5</v>
      </c>
      <c r="T15" s="33" t="s">
        <v>17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>
      <c r="A16" s="1"/>
      <c r="B16" s="22" t="s">
        <v>36</v>
      </c>
      <c r="C16" s="56">
        <f>((((C10)*(C15/1000))*144.4)/231)</f>
        <v>0</v>
      </c>
      <c r="D16" s="24" t="s">
        <v>22</v>
      </c>
      <c r="E16" s="1"/>
      <c r="F16" s="22" t="s">
        <v>36</v>
      </c>
      <c r="G16" s="56">
        <f>((((G10)*(G15/1000))*144.4)/231)</f>
        <v>50.00865801</v>
      </c>
      <c r="H16" s="24" t="s">
        <v>22</v>
      </c>
      <c r="I16" s="35"/>
      <c r="J16" s="22" t="s">
        <v>36</v>
      </c>
      <c r="K16" s="56">
        <f>((((K10)*(K15/1000))*144.4)/231)</f>
        <v>35.00606061</v>
      </c>
      <c r="L16" s="24" t="s">
        <v>22</v>
      </c>
      <c r="M16" s="1"/>
      <c r="N16" s="36">
        <v>0.05</v>
      </c>
      <c r="O16" s="37">
        <v>50.0</v>
      </c>
      <c r="P16" s="38">
        <v>32.1</v>
      </c>
      <c r="Q16" s="1"/>
      <c r="R16" s="31" t="s">
        <v>37</v>
      </c>
      <c r="S16" s="32">
        <v>1.0</v>
      </c>
      <c r="T16" s="33" t="s">
        <v>17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>
      <c r="A17" s="1"/>
      <c r="B17" s="22"/>
      <c r="C17" s="63"/>
      <c r="D17" s="24"/>
      <c r="E17" s="1"/>
      <c r="F17" s="22"/>
      <c r="G17" s="63"/>
      <c r="H17" s="24"/>
      <c r="I17" s="64"/>
      <c r="J17" s="22"/>
      <c r="K17" s="63"/>
      <c r="L17" s="24"/>
      <c r="M17" s="1"/>
      <c r="N17" s="36" t="s">
        <v>38</v>
      </c>
      <c r="O17" s="37">
        <v>62.5</v>
      </c>
      <c r="P17" s="38">
        <v>25.7</v>
      </c>
      <c r="Q17" s="1"/>
      <c r="R17" s="31"/>
      <c r="S17" s="65"/>
      <c r="T17" s="33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>
      <c r="A18" s="1"/>
      <c r="B18" s="59" t="s">
        <v>39</v>
      </c>
      <c r="C18" s="66" t="str">
        <f>IF(C10,C10*0.166666666666666,"0")</f>
        <v>0</v>
      </c>
      <c r="D18" s="67" t="s">
        <v>40</v>
      </c>
      <c r="E18" s="1"/>
      <c r="F18" s="59" t="s">
        <v>39</v>
      </c>
      <c r="G18" s="66">
        <f>IF(G10,G10*0.166666666666666,"0")</f>
        <v>333.3333333</v>
      </c>
      <c r="H18" s="67" t="s">
        <v>40</v>
      </c>
      <c r="I18" s="35"/>
      <c r="J18" s="59" t="s">
        <v>39</v>
      </c>
      <c r="K18" s="66">
        <f>IF(K10,K10*0.166666666666666,"0")</f>
        <v>233.3333333</v>
      </c>
      <c r="L18" s="67" t="s">
        <v>40</v>
      </c>
      <c r="M18" s="1"/>
      <c r="N18" s="36" t="s">
        <v>41</v>
      </c>
      <c r="O18" s="37">
        <v>125.0</v>
      </c>
      <c r="P18" s="38">
        <v>12.8</v>
      </c>
      <c r="Q18" s="1"/>
      <c r="R18" s="22" t="s">
        <v>21</v>
      </c>
      <c r="S18" s="68">
        <f>T13/240</f>
        <v>0.1579861111</v>
      </c>
      <c r="T18" s="47" t="s">
        <v>22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>
      <c r="A19" s="1"/>
      <c r="B19" s="22"/>
      <c r="C19" s="62"/>
      <c r="D19" s="24"/>
      <c r="E19" s="1"/>
      <c r="F19" s="22"/>
      <c r="G19" s="62"/>
      <c r="H19" s="24"/>
      <c r="I19" s="35"/>
      <c r="J19" s="22"/>
      <c r="K19" s="62"/>
      <c r="L19" s="24"/>
      <c r="M19" s="1"/>
      <c r="N19" s="36">
        <v>0.15</v>
      </c>
      <c r="O19" s="37">
        <v>150.0</v>
      </c>
      <c r="P19" s="38">
        <v>10.7</v>
      </c>
      <c r="Q19" s="1"/>
      <c r="R19" s="31"/>
      <c r="S19" s="20"/>
      <c r="T19" s="2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>
      <c r="A20" s="1"/>
      <c r="B20" s="22" t="s">
        <v>42</v>
      </c>
      <c r="C20" s="56" t="str">
        <f>IF(C10,C10/160,"0")</f>
        <v>0</v>
      </c>
      <c r="D20" s="24" t="s">
        <v>22</v>
      </c>
      <c r="E20" s="1"/>
      <c r="F20" s="22" t="s">
        <v>43</v>
      </c>
      <c r="G20" s="56">
        <f>IF(G10,G10/160,"0")</f>
        <v>12.5</v>
      </c>
      <c r="H20" s="24" t="s">
        <v>22</v>
      </c>
      <c r="I20" s="35"/>
      <c r="J20" s="22" t="s">
        <v>44</v>
      </c>
      <c r="K20" s="56">
        <f>IF(K10,K10/160,"0")</f>
        <v>8.75</v>
      </c>
      <c r="L20" s="24" t="s">
        <v>22</v>
      </c>
      <c r="M20" s="1"/>
      <c r="N20" s="36">
        <v>0.175</v>
      </c>
      <c r="O20" s="37">
        <v>175.0</v>
      </c>
      <c r="P20" s="38">
        <v>9.2</v>
      </c>
      <c r="Q20" s="1"/>
      <c r="R20" s="31" t="s">
        <v>45</v>
      </c>
      <c r="S20" s="46">
        <f>(S14*12)*S15*S16/231</f>
        <v>1.818181818</v>
      </c>
      <c r="T20" s="47" t="s">
        <v>22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ht="15.75" customHeight="1">
      <c r="A21" s="1"/>
      <c r="B21" s="22" t="s">
        <v>46</v>
      </c>
      <c r="C21" s="56" t="str">
        <f>IF(C10,C10/240,"0")</f>
        <v>0</v>
      </c>
      <c r="D21" s="24" t="s">
        <v>22</v>
      </c>
      <c r="E21" s="1"/>
      <c r="F21" s="22" t="s">
        <v>47</v>
      </c>
      <c r="G21" s="56">
        <f>IF(G10,G10/240,"0")</f>
        <v>8.333333333</v>
      </c>
      <c r="H21" s="24" t="s">
        <v>22</v>
      </c>
      <c r="I21" s="35"/>
      <c r="J21" s="22" t="s">
        <v>48</v>
      </c>
      <c r="K21" s="56">
        <f>IF(K10,K10/240,"0")</f>
        <v>5.833333333</v>
      </c>
      <c r="L21" s="24" t="s">
        <v>22</v>
      </c>
      <c r="M21" s="1"/>
      <c r="N21" s="36" t="s">
        <v>49</v>
      </c>
      <c r="O21" s="37">
        <v>187.0</v>
      </c>
      <c r="P21" s="38">
        <v>8.6</v>
      </c>
      <c r="Q21" s="1"/>
      <c r="R21" s="22" t="s">
        <v>50</v>
      </c>
      <c r="S21" s="68">
        <f>S22*2</f>
        <v>1.212121212</v>
      </c>
      <c r="T21" s="47" t="s">
        <v>22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15.75" customHeight="1">
      <c r="A22" s="1"/>
      <c r="B22" s="59" t="s">
        <v>51</v>
      </c>
      <c r="C22" s="56">
        <f>C20+C21</f>
        <v>0</v>
      </c>
      <c r="D22" s="24" t="s">
        <v>22</v>
      </c>
      <c r="E22" s="1"/>
      <c r="F22" s="59" t="s">
        <v>52</v>
      </c>
      <c r="G22" s="50">
        <f>G20+G21</f>
        <v>20.83333333</v>
      </c>
      <c r="H22" s="24" t="s">
        <v>22</v>
      </c>
      <c r="I22" s="35"/>
      <c r="J22" s="59" t="s">
        <v>53</v>
      </c>
      <c r="K22" s="56">
        <f>K20+K21</f>
        <v>14.58333333</v>
      </c>
      <c r="L22" s="24" t="s">
        <v>22</v>
      </c>
      <c r="M22" s="1"/>
      <c r="N22" s="36">
        <v>0.2</v>
      </c>
      <c r="O22" s="37">
        <v>200.0</v>
      </c>
      <c r="P22" s="38">
        <v>8.0</v>
      </c>
      <c r="Q22" s="1"/>
      <c r="R22" s="22" t="s">
        <v>54</v>
      </c>
      <c r="S22" s="68">
        <f>S20/3</f>
        <v>0.6060606061</v>
      </c>
      <c r="T22" s="47" t="s">
        <v>22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15.75" customHeight="1">
      <c r="A23" s="1"/>
      <c r="B23" s="22"/>
      <c r="C23" s="63"/>
      <c r="D23" s="24"/>
      <c r="E23" s="1"/>
      <c r="F23" s="22"/>
      <c r="G23" s="69"/>
      <c r="H23" s="24"/>
      <c r="I23" s="35"/>
      <c r="J23" s="22"/>
      <c r="K23" s="63"/>
      <c r="L23" s="24"/>
      <c r="M23" s="1"/>
      <c r="N23" s="36">
        <v>0.225</v>
      </c>
      <c r="O23" s="37">
        <v>225.0</v>
      </c>
      <c r="P23" s="38">
        <v>7.1</v>
      </c>
      <c r="Q23" s="1"/>
      <c r="R23" s="53"/>
      <c r="S23" s="70"/>
      <c r="T23" s="7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ht="15.75" customHeight="1">
      <c r="A24" s="1"/>
      <c r="B24" s="22" t="s">
        <v>55</v>
      </c>
      <c r="C24" s="56" t="str">
        <f>IF(C10&gt;0,C21/5,"0")</f>
        <v>0</v>
      </c>
      <c r="D24" s="67" t="s">
        <v>56</v>
      </c>
      <c r="E24" s="1"/>
      <c r="F24" s="59" t="s">
        <v>57</v>
      </c>
      <c r="G24" s="56">
        <f>IF(G5,G5/100,"0")</f>
        <v>20</v>
      </c>
      <c r="H24" s="24" t="s">
        <v>22</v>
      </c>
      <c r="I24" s="35"/>
      <c r="J24" s="22" t="s">
        <v>55</v>
      </c>
      <c r="K24" s="56">
        <f>IF(K10&gt;0,K21/5,"0")</f>
        <v>1.166666667</v>
      </c>
      <c r="L24" s="67" t="s">
        <v>56</v>
      </c>
      <c r="M24" s="1"/>
      <c r="N24" s="36" t="s">
        <v>58</v>
      </c>
      <c r="O24" s="37">
        <v>250.0</v>
      </c>
      <c r="P24" s="38">
        <v>6.4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ht="15.75" customHeight="1">
      <c r="A25" s="1"/>
      <c r="B25" s="22"/>
      <c r="C25" s="56">
        <f>C21*4</f>
        <v>0</v>
      </c>
      <c r="D25" s="67" t="s">
        <v>59</v>
      </c>
      <c r="E25" s="1"/>
      <c r="F25" s="22"/>
      <c r="G25" s="63"/>
      <c r="H25" s="24"/>
      <c r="I25" s="72"/>
      <c r="J25" s="22"/>
      <c r="K25" s="56">
        <f>K21*4</f>
        <v>23.33333333</v>
      </c>
      <c r="L25" s="67" t="s">
        <v>59</v>
      </c>
      <c r="M25" s="1"/>
      <c r="N25" s="36" t="s">
        <v>60</v>
      </c>
      <c r="O25" s="37">
        <v>312.0</v>
      </c>
      <c r="P25" s="38">
        <v>5.1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15.75" customHeight="1">
      <c r="A26" s="1"/>
      <c r="B26" s="73" t="s">
        <v>61</v>
      </c>
      <c r="C26" s="74"/>
      <c r="D26" s="55"/>
      <c r="E26" s="1"/>
      <c r="F26" s="22" t="s">
        <v>55</v>
      </c>
      <c r="G26" s="56">
        <f>IF(G10&gt;0,G21/5,"0")</f>
        <v>1.666666667</v>
      </c>
      <c r="H26" s="67" t="s">
        <v>56</v>
      </c>
      <c r="I26" s="64"/>
      <c r="J26" s="73" t="s">
        <v>62</v>
      </c>
      <c r="K26" s="74"/>
      <c r="L26" s="55"/>
      <c r="M26" s="1"/>
      <c r="N26" s="36" t="s">
        <v>63</v>
      </c>
      <c r="O26" s="37">
        <v>375.0</v>
      </c>
      <c r="P26" s="38">
        <v>4.3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15.75" customHeight="1">
      <c r="A27" s="1"/>
      <c r="B27" s="1"/>
      <c r="C27" s="1"/>
      <c r="D27" s="1"/>
      <c r="E27" s="1"/>
      <c r="F27" s="22"/>
      <c r="G27" s="56">
        <f>G21*4</f>
        <v>33.33333333</v>
      </c>
      <c r="H27" s="67" t="s">
        <v>59</v>
      </c>
      <c r="I27" s="58"/>
      <c r="J27" s="64"/>
      <c r="K27" s="64"/>
      <c r="L27" s="64"/>
      <c r="M27" s="1"/>
      <c r="N27" s="36" t="s">
        <v>64</v>
      </c>
      <c r="O27" s="37">
        <v>437.0</v>
      </c>
      <c r="P27" s="38">
        <v>3.7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15.75" customHeight="1">
      <c r="A28" s="1"/>
      <c r="B28" s="1"/>
      <c r="C28" s="1"/>
      <c r="D28" s="1"/>
      <c r="E28" s="1"/>
      <c r="F28" s="75"/>
      <c r="G28" s="74"/>
      <c r="H28" s="55"/>
      <c r="I28" s="1"/>
      <c r="J28" s="64"/>
      <c r="K28" s="64"/>
      <c r="L28" s="64"/>
      <c r="M28" s="1"/>
      <c r="N28" s="36" t="s">
        <v>65</v>
      </c>
      <c r="O28" s="37">
        <v>500.0</v>
      </c>
      <c r="P28" s="38">
        <v>3.2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6" t="s">
        <v>66</v>
      </c>
      <c r="O29" s="37">
        <v>750.0</v>
      </c>
      <c r="P29" s="38">
        <v>2.1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ht="15.75" customHeight="1">
      <c r="A30" s="1"/>
      <c r="B30" s="2" t="s">
        <v>67</v>
      </c>
      <c r="C30" s="3"/>
      <c r="D30" s="4"/>
      <c r="E30" s="1"/>
      <c r="F30" s="2" t="s">
        <v>67</v>
      </c>
      <c r="G30" s="3"/>
      <c r="H30" s="4"/>
      <c r="I30" s="1"/>
      <c r="J30" s="2" t="s">
        <v>67</v>
      </c>
      <c r="K30" s="3"/>
      <c r="L30" s="4"/>
      <c r="M30" s="1"/>
      <c r="N30" s="76" t="s">
        <v>68</v>
      </c>
      <c r="O30" s="77">
        <v>1000.0</v>
      </c>
      <c r="P30" s="78">
        <v>1.604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ht="15.75" customHeight="1">
      <c r="A31" s="1"/>
      <c r="B31" s="11" t="s">
        <v>6</v>
      </c>
      <c r="C31" s="12"/>
      <c r="D31" s="13"/>
      <c r="E31" s="1"/>
      <c r="F31" s="14" t="s">
        <v>7</v>
      </c>
      <c r="G31" s="12"/>
      <c r="H31" s="13"/>
      <c r="I31" s="1"/>
      <c r="J31" s="15" t="s">
        <v>8</v>
      </c>
      <c r="K31" s="12"/>
      <c r="L31" s="1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ht="15.75" customHeight="1">
      <c r="A32" s="1"/>
      <c r="B32" s="22"/>
      <c r="C32" s="23"/>
      <c r="D32" s="24"/>
      <c r="E32" s="1"/>
      <c r="F32" s="22"/>
      <c r="G32" s="23"/>
      <c r="H32" s="24"/>
      <c r="I32" s="1"/>
      <c r="J32" s="22"/>
      <c r="K32" s="23"/>
      <c r="L32" s="24"/>
      <c r="M32" s="1"/>
      <c r="N32" s="1"/>
      <c r="O32" s="1"/>
      <c r="P32" s="79" t="s">
        <v>69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ht="15.75" customHeight="1">
      <c r="A33" s="1"/>
      <c r="B33" s="22" t="s">
        <v>14</v>
      </c>
      <c r="C33" s="34"/>
      <c r="D33" s="24" t="s">
        <v>15</v>
      </c>
      <c r="E33" s="1"/>
      <c r="F33" s="22" t="s">
        <v>14</v>
      </c>
      <c r="G33" s="34"/>
      <c r="H33" s="24" t="s">
        <v>15</v>
      </c>
      <c r="I33" s="1"/>
      <c r="J33" s="22" t="s">
        <v>14</v>
      </c>
      <c r="K33" s="34"/>
      <c r="L33" s="24" t="s">
        <v>15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ht="15.75" customHeight="1">
      <c r="A34" s="1"/>
      <c r="B34" s="25"/>
      <c r="C34" s="26"/>
      <c r="D34" s="27"/>
      <c r="E34" s="1"/>
      <c r="F34" s="25"/>
      <c r="G34" s="26"/>
      <c r="H34" s="27"/>
      <c r="I34" s="1"/>
      <c r="J34" s="25"/>
      <c r="K34" s="26"/>
      <c r="L34" s="2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ht="15.75" customHeight="1">
      <c r="A35" s="1"/>
      <c r="B35" s="22" t="s">
        <v>20</v>
      </c>
      <c r="C35" s="45"/>
      <c r="D35" s="24" t="s">
        <v>13</v>
      </c>
      <c r="E35" s="1"/>
      <c r="F35" s="22" t="s">
        <v>20</v>
      </c>
      <c r="G35" s="45"/>
      <c r="H35" s="24" t="s">
        <v>13</v>
      </c>
      <c r="I35" s="1"/>
      <c r="J35" s="22" t="s">
        <v>20</v>
      </c>
      <c r="K35" s="45"/>
      <c r="L35" s="24" t="s">
        <v>13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ht="15.75" customHeight="1">
      <c r="A36" s="1"/>
      <c r="B36" s="22" t="s">
        <v>23</v>
      </c>
      <c r="C36" s="45"/>
      <c r="D36" s="24" t="s">
        <v>13</v>
      </c>
      <c r="E36" s="1"/>
      <c r="F36" s="22" t="s">
        <v>23</v>
      </c>
      <c r="G36" s="45"/>
      <c r="H36" s="24" t="s">
        <v>13</v>
      </c>
      <c r="I36" s="1"/>
      <c r="J36" s="22" t="s">
        <v>23</v>
      </c>
      <c r="K36" s="45"/>
      <c r="L36" s="24" t="s">
        <v>13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ht="15.75" customHeight="1">
      <c r="A37" s="1"/>
      <c r="B37" s="22"/>
      <c r="C37" s="48"/>
      <c r="D37" s="24"/>
      <c r="E37" s="1"/>
      <c r="F37" s="22"/>
      <c r="G37" s="48"/>
      <c r="H37" s="24"/>
      <c r="I37" s="1"/>
      <c r="J37" s="22"/>
      <c r="K37" s="48"/>
      <c r="L37" s="2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ht="15.75" customHeight="1">
      <c r="A38" s="1"/>
      <c r="B38" s="22" t="s">
        <v>26</v>
      </c>
      <c r="C38" s="50">
        <f>(C35*C36)+C33</f>
        <v>0</v>
      </c>
      <c r="D38" s="51" t="s">
        <v>15</v>
      </c>
      <c r="E38" s="1"/>
      <c r="F38" s="22" t="s">
        <v>26</v>
      </c>
      <c r="G38" s="50">
        <f>(G35*G36)+G33</f>
        <v>0</v>
      </c>
      <c r="H38" s="51" t="s">
        <v>15</v>
      </c>
      <c r="I38" s="1"/>
      <c r="J38" s="22" t="s">
        <v>26</v>
      </c>
      <c r="K38" s="50">
        <f>(K35*K36)+K33</f>
        <v>0</v>
      </c>
      <c r="L38" s="51" t="s">
        <v>15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ht="15.75" customHeight="1">
      <c r="A39" s="1"/>
      <c r="B39" s="22" t="s">
        <v>27</v>
      </c>
      <c r="C39" s="56">
        <f>C38/200</f>
        <v>0</v>
      </c>
      <c r="D39" s="24" t="s">
        <v>22</v>
      </c>
      <c r="E39" s="1"/>
      <c r="F39" s="22" t="s">
        <v>27</v>
      </c>
      <c r="G39" s="56">
        <f>G38/200</f>
        <v>0</v>
      </c>
      <c r="H39" s="24" t="s">
        <v>22</v>
      </c>
      <c r="I39" s="1"/>
      <c r="J39" s="22" t="s">
        <v>27</v>
      </c>
      <c r="K39" s="56">
        <f>K38/200</f>
        <v>0</v>
      </c>
      <c r="L39" s="24" t="s">
        <v>22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ht="15.75" customHeight="1">
      <c r="A40" s="1"/>
      <c r="B40" s="22" t="s">
        <v>28</v>
      </c>
      <c r="C40" s="56">
        <f>C38/200</f>
        <v>0</v>
      </c>
      <c r="D40" s="24" t="s">
        <v>22</v>
      </c>
      <c r="E40" s="1"/>
      <c r="F40" s="22" t="s">
        <v>28</v>
      </c>
      <c r="G40" s="56">
        <f>G38/200</f>
        <v>0</v>
      </c>
      <c r="H40" s="24" t="s">
        <v>22</v>
      </c>
      <c r="I40" s="1"/>
      <c r="J40" s="22" t="s">
        <v>28</v>
      </c>
      <c r="K40" s="56">
        <f>K38/200</f>
        <v>0</v>
      </c>
      <c r="L40" s="24" t="s">
        <v>22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ht="15.75" customHeight="1">
      <c r="A41" s="1"/>
      <c r="B41" s="59" t="s">
        <v>30</v>
      </c>
      <c r="C41" s="56">
        <f>C39+C40</f>
        <v>0</v>
      </c>
      <c r="D41" s="24" t="s">
        <v>22</v>
      </c>
      <c r="E41" s="1"/>
      <c r="F41" s="59" t="s">
        <v>30</v>
      </c>
      <c r="G41" s="56">
        <f>G39+G40</f>
        <v>0</v>
      </c>
      <c r="H41" s="24" t="s">
        <v>22</v>
      </c>
      <c r="I41" s="1"/>
      <c r="J41" s="59" t="s">
        <v>30</v>
      </c>
      <c r="K41" s="56">
        <f>K39+K40</f>
        <v>0</v>
      </c>
      <c r="L41" s="24" t="s">
        <v>22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ht="15.75" customHeight="1">
      <c r="A42" s="1"/>
      <c r="B42" s="22"/>
      <c r="C42" s="62"/>
      <c r="D42" s="24"/>
      <c r="E42" s="1"/>
      <c r="F42" s="22"/>
      <c r="G42" s="62"/>
      <c r="H42" s="24"/>
      <c r="I42" s="1"/>
      <c r="J42" s="22"/>
      <c r="K42" s="62"/>
      <c r="L42" s="2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ht="15.75" customHeight="1">
      <c r="A43" s="1"/>
      <c r="B43" s="22" t="s">
        <v>33</v>
      </c>
      <c r="C43" s="80">
        <v>40.0</v>
      </c>
      <c r="D43" s="24" t="s">
        <v>34</v>
      </c>
      <c r="E43" s="1"/>
      <c r="F43" s="22" t="s">
        <v>33</v>
      </c>
      <c r="G43" s="80">
        <v>40.0</v>
      </c>
      <c r="H43" s="24" t="s">
        <v>34</v>
      </c>
      <c r="I43" s="1"/>
      <c r="J43" s="22" t="s">
        <v>33</v>
      </c>
      <c r="K43" s="80">
        <v>40.0</v>
      </c>
      <c r="L43" s="24" t="s">
        <v>34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ht="15.75" customHeight="1">
      <c r="A44" s="1"/>
      <c r="B44" s="22" t="s">
        <v>36</v>
      </c>
      <c r="C44" s="56">
        <f>((((C38)*(C43/1000))*144.4)/231)</f>
        <v>0</v>
      </c>
      <c r="D44" s="24" t="s">
        <v>22</v>
      </c>
      <c r="E44" s="1"/>
      <c r="F44" s="22" t="s">
        <v>36</v>
      </c>
      <c r="G44" s="56">
        <f>((((G38)*(G43/1000))*144.4)/231)</f>
        <v>0</v>
      </c>
      <c r="H44" s="24" t="s">
        <v>22</v>
      </c>
      <c r="I44" s="1"/>
      <c r="J44" s="22" t="s">
        <v>36</v>
      </c>
      <c r="K44" s="56">
        <f>((((K38)*(K43/1000))*144.4)/231)</f>
        <v>0</v>
      </c>
      <c r="L44" s="24" t="s">
        <v>22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ht="15.75" customHeight="1">
      <c r="A45" s="1"/>
      <c r="B45" s="22"/>
      <c r="C45" s="63"/>
      <c r="D45" s="24"/>
      <c r="E45" s="1"/>
      <c r="F45" s="22"/>
      <c r="G45" s="63"/>
      <c r="H45" s="24"/>
      <c r="I45" s="1"/>
      <c r="J45" s="22"/>
      <c r="K45" s="63"/>
      <c r="L45" s="2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ht="15.75" customHeight="1">
      <c r="A46" s="1"/>
      <c r="B46" s="59" t="s">
        <v>70</v>
      </c>
      <c r="C46" s="66" t="str">
        <f>IF(C38,C38*0.5,"0")</f>
        <v>0</v>
      </c>
      <c r="D46" s="67" t="s">
        <v>40</v>
      </c>
      <c r="E46" s="1"/>
      <c r="F46" s="59" t="s">
        <v>70</v>
      </c>
      <c r="G46" s="66" t="str">
        <f>IF(G38,G38*0.5,"0")</f>
        <v>0</v>
      </c>
      <c r="H46" s="67" t="s">
        <v>40</v>
      </c>
      <c r="I46" s="1"/>
      <c r="J46" s="59" t="s">
        <v>70</v>
      </c>
      <c r="K46" s="66" t="str">
        <f>IF(K38,K38*0.5,"0")</f>
        <v>0</v>
      </c>
      <c r="L46" s="67" t="s">
        <v>40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ht="15.75" customHeight="1">
      <c r="A47" s="1"/>
      <c r="B47" s="22"/>
      <c r="C47" s="62"/>
      <c r="D47" s="24"/>
      <c r="E47" s="1"/>
      <c r="F47" s="22"/>
      <c r="G47" s="62"/>
      <c r="H47" s="24"/>
      <c r="I47" s="1"/>
      <c r="J47" s="22"/>
      <c r="K47" s="62"/>
      <c r="L47" s="2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ht="15.75" customHeight="1">
      <c r="A48" s="1"/>
      <c r="B48" s="22" t="s">
        <v>42</v>
      </c>
      <c r="C48" s="56" t="str">
        <f>IF(C38,C38/140,"0.00")</f>
        <v>0.00</v>
      </c>
      <c r="D48" s="24" t="s">
        <v>22</v>
      </c>
      <c r="E48" s="1"/>
      <c r="F48" s="22" t="s">
        <v>43</v>
      </c>
      <c r="G48" s="56" t="str">
        <f>IF(G38,G38/140,"0.00")</f>
        <v>0.00</v>
      </c>
      <c r="H48" s="24" t="s">
        <v>22</v>
      </c>
      <c r="I48" s="1"/>
      <c r="J48" s="22" t="s">
        <v>44</v>
      </c>
      <c r="K48" s="56" t="str">
        <f>IF(K38,K38/140,"0.00")</f>
        <v>0.00</v>
      </c>
      <c r="L48" s="24" t="s">
        <v>22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ht="15.75" customHeight="1">
      <c r="A49" s="1"/>
      <c r="B49" s="22" t="s">
        <v>46</v>
      </c>
      <c r="C49" s="56" t="str">
        <f>IF(C38,C38/200,"0.00")</f>
        <v>0.00</v>
      </c>
      <c r="D49" s="24" t="s">
        <v>22</v>
      </c>
      <c r="E49" s="1"/>
      <c r="F49" s="22" t="s">
        <v>47</v>
      </c>
      <c r="G49" s="56" t="str">
        <f>IF(G38,G38/200,"0.00")</f>
        <v>0.00</v>
      </c>
      <c r="H49" s="24" t="s">
        <v>22</v>
      </c>
      <c r="I49" s="1"/>
      <c r="J49" s="22" t="s">
        <v>48</v>
      </c>
      <c r="K49" s="56" t="str">
        <f>IF(K38,K38/200,"0.00")</f>
        <v>0.00</v>
      </c>
      <c r="L49" s="24" t="s">
        <v>22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ht="15.75" customHeight="1">
      <c r="A50" s="1"/>
      <c r="B50" s="59" t="s">
        <v>51</v>
      </c>
      <c r="C50" s="56">
        <f>C48+C49</f>
        <v>0</v>
      </c>
      <c r="D50" s="24" t="s">
        <v>22</v>
      </c>
      <c r="E50" s="1"/>
      <c r="F50" s="59" t="s">
        <v>52</v>
      </c>
      <c r="G50" s="50">
        <f>G48+G49</f>
        <v>0</v>
      </c>
      <c r="H50" s="24" t="s">
        <v>22</v>
      </c>
      <c r="I50" s="1"/>
      <c r="J50" s="59" t="s">
        <v>53</v>
      </c>
      <c r="K50" s="56">
        <f>K48+K49</f>
        <v>0</v>
      </c>
      <c r="L50" s="24" t="s">
        <v>22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ht="15.75" customHeight="1">
      <c r="A51" s="1"/>
      <c r="B51" s="22"/>
      <c r="C51" s="63"/>
      <c r="D51" s="24"/>
      <c r="E51" s="1"/>
      <c r="F51" s="22"/>
      <c r="G51" s="69"/>
      <c r="H51" s="24"/>
      <c r="I51" s="1"/>
      <c r="J51" s="22"/>
      <c r="K51" s="63"/>
      <c r="L51" s="2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ht="15.75" customHeight="1">
      <c r="A52" s="1"/>
      <c r="B52" s="22" t="s">
        <v>55</v>
      </c>
      <c r="C52" s="56" t="str">
        <f>IF(C38&gt;0,C49/5,"0.00")</f>
        <v>0.00</v>
      </c>
      <c r="D52" s="67" t="s">
        <v>56</v>
      </c>
      <c r="E52" s="1"/>
      <c r="F52" s="59" t="s">
        <v>57</v>
      </c>
      <c r="G52" s="56" t="str">
        <f>IF(G33,G33/100,"0.00")</f>
        <v>0.00</v>
      </c>
      <c r="H52" s="24" t="s">
        <v>22</v>
      </c>
      <c r="I52" s="1"/>
      <c r="J52" s="22" t="s">
        <v>55</v>
      </c>
      <c r="K52" s="56" t="str">
        <f>IF(K38&gt;0,K49/5,"0.00")</f>
        <v>0.00</v>
      </c>
      <c r="L52" s="67" t="s">
        <v>56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ht="15.75" customHeight="1">
      <c r="A53" s="1"/>
      <c r="B53" s="22"/>
      <c r="C53" s="56">
        <f>C49*4</f>
        <v>0</v>
      </c>
      <c r="D53" s="67" t="s">
        <v>59</v>
      </c>
      <c r="E53" s="1"/>
      <c r="F53" s="22"/>
      <c r="G53" s="63"/>
      <c r="H53" s="24"/>
      <c r="I53" s="1"/>
      <c r="J53" s="22"/>
      <c r="K53" s="56">
        <f>K49*4</f>
        <v>0</v>
      </c>
      <c r="L53" s="67" t="s">
        <v>59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ht="15.75" customHeight="1">
      <c r="A54" s="1"/>
      <c r="B54" s="73" t="s">
        <v>61</v>
      </c>
      <c r="C54" s="74"/>
      <c r="D54" s="55"/>
      <c r="E54" s="1"/>
      <c r="F54" s="22" t="s">
        <v>55</v>
      </c>
      <c r="G54" s="56" t="str">
        <f>IF(G38&gt;0,G49/5,"0.00")</f>
        <v>0.00</v>
      </c>
      <c r="H54" s="67" t="s">
        <v>56</v>
      </c>
      <c r="I54" s="1"/>
      <c r="J54" s="73" t="s">
        <v>62</v>
      </c>
      <c r="K54" s="74"/>
      <c r="L54" s="5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ht="15.75" customHeight="1">
      <c r="A55" s="1"/>
      <c r="B55" s="1"/>
      <c r="C55" s="1"/>
      <c r="D55" s="1"/>
      <c r="E55" s="1"/>
      <c r="F55" s="22"/>
      <c r="G55" s="56">
        <f>G49*4</f>
        <v>0</v>
      </c>
      <c r="H55" s="67" t="s">
        <v>59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ht="15.75" customHeight="1">
      <c r="A56" s="1"/>
      <c r="B56" s="1"/>
      <c r="C56" s="1"/>
      <c r="D56" s="1"/>
      <c r="E56" s="1"/>
      <c r="F56" s="75"/>
      <c r="G56" s="74"/>
      <c r="H56" s="5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ht="15.75" customHeight="1">
      <c r="A58" s="1"/>
      <c r="B58" s="2" t="s">
        <v>71</v>
      </c>
      <c r="C58" s="3"/>
      <c r="D58" s="4"/>
      <c r="E58" s="1"/>
      <c r="F58" s="2" t="s">
        <v>71</v>
      </c>
      <c r="G58" s="3"/>
      <c r="H58" s="4"/>
      <c r="I58" s="1"/>
      <c r="J58" s="2" t="s">
        <v>71</v>
      </c>
      <c r="K58" s="3"/>
      <c r="L58" s="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ht="15.75" customHeight="1">
      <c r="A59" s="1"/>
      <c r="B59" s="11" t="s">
        <v>6</v>
      </c>
      <c r="C59" s="12"/>
      <c r="D59" s="13"/>
      <c r="E59" s="1"/>
      <c r="F59" s="14" t="s">
        <v>7</v>
      </c>
      <c r="G59" s="12"/>
      <c r="H59" s="13"/>
      <c r="I59" s="1"/>
      <c r="J59" s="15" t="s">
        <v>8</v>
      </c>
      <c r="K59" s="12"/>
      <c r="L59" s="1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ht="15.75" customHeight="1">
      <c r="A60" s="1"/>
      <c r="B60" s="22"/>
      <c r="C60" s="23"/>
      <c r="D60" s="24"/>
      <c r="E60" s="1"/>
      <c r="F60" s="22"/>
      <c r="G60" s="23"/>
      <c r="H60" s="24"/>
      <c r="I60" s="1"/>
      <c r="J60" s="22"/>
      <c r="K60" s="23"/>
      <c r="L60" s="2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ht="15.75" customHeight="1">
      <c r="A61" s="1"/>
      <c r="B61" s="22" t="s">
        <v>14</v>
      </c>
      <c r="C61" s="34"/>
      <c r="D61" s="24" t="s">
        <v>15</v>
      </c>
      <c r="E61" s="1"/>
      <c r="F61" s="22" t="s">
        <v>14</v>
      </c>
      <c r="G61" s="34">
        <v>425.0</v>
      </c>
      <c r="H61" s="24" t="s">
        <v>15</v>
      </c>
      <c r="I61" s="1"/>
      <c r="J61" s="22" t="s">
        <v>14</v>
      </c>
      <c r="K61" s="34">
        <v>820.0</v>
      </c>
      <c r="L61" s="24" t="s">
        <v>15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ht="15.75" customHeight="1">
      <c r="A62" s="1"/>
      <c r="B62" s="25"/>
      <c r="C62" s="26"/>
      <c r="D62" s="27"/>
      <c r="E62" s="1"/>
      <c r="F62" s="25"/>
      <c r="G62" s="26"/>
      <c r="H62" s="27"/>
      <c r="I62" s="1"/>
      <c r="J62" s="25"/>
      <c r="K62" s="26"/>
      <c r="L62" s="2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ht="15.75" customHeight="1">
      <c r="A63" s="1"/>
      <c r="B63" s="22" t="s">
        <v>20</v>
      </c>
      <c r="C63" s="45"/>
      <c r="D63" s="24" t="s">
        <v>13</v>
      </c>
      <c r="E63" s="1"/>
      <c r="F63" s="22" t="s">
        <v>20</v>
      </c>
      <c r="G63" s="45"/>
      <c r="H63" s="24" t="s">
        <v>13</v>
      </c>
      <c r="I63" s="1"/>
      <c r="J63" s="22" t="s">
        <v>20</v>
      </c>
      <c r="K63" s="45"/>
      <c r="L63" s="24" t="s">
        <v>13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ht="15.75" customHeight="1">
      <c r="A64" s="1"/>
      <c r="B64" s="22" t="s">
        <v>23</v>
      </c>
      <c r="C64" s="45"/>
      <c r="D64" s="24" t="s">
        <v>13</v>
      </c>
      <c r="E64" s="1"/>
      <c r="F64" s="22" t="s">
        <v>23</v>
      </c>
      <c r="G64" s="45"/>
      <c r="H64" s="24" t="s">
        <v>13</v>
      </c>
      <c r="I64" s="1"/>
      <c r="J64" s="22" t="s">
        <v>23</v>
      </c>
      <c r="K64" s="45"/>
      <c r="L64" s="24" t="s">
        <v>13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ht="15.75" customHeight="1">
      <c r="A65" s="1"/>
      <c r="B65" s="22"/>
      <c r="C65" s="48"/>
      <c r="D65" s="24"/>
      <c r="E65" s="1"/>
      <c r="F65" s="22"/>
      <c r="G65" s="48"/>
      <c r="H65" s="24"/>
      <c r="I65" s="1"/>
      <c r="J65" s="22"/>
      <c r="K65" s="48"/>
      <c r="L65" s="2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ht="15.75" customHeight="1">
      <c r="A66" s="1"/>
      <c r="B66" s="22" t="s">
        <v>26</v>
      </c>
      <c r="C66" s="50">
        <f>(C63*C64)+C61</f>
        <v>0</v>
      </c>
      <c r="D66" s="51" t="s">
        <v>15</v>
      </c>
      <c r="E66" s="1"/>
      <c r="F66" s="22" t="s">
        <v>26</v>
      </c>
      <c r="G66" s="50">
        <f>(G63*G64)+G61</f>
        <v>425</v>
      </c>
      <c r="H66" s="51" t="s">
        <v>15</v>
      </c>
      <c r="I66" s="1"/>
      <c r="J66" s="22" t="s">
        <v>26</v>
      </c>
      <c r="K66" s="50">
        <f>(K63*K64)+K61</f>
        <v>820</v>
      </c>
      <c r="L66" s="51" t="s">
        <v>15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ht="15.75" customHeight="1">
      <c r="A67" s="1"/>
      <c r="B67" s="22" t="s">
        <v>27</v>
      </c>
      <c r="C67" s="56">
        <f>C66/200</f>
        <v>0</v>
      </c>
      <c r="D67" s="24" t="s">
        <v>22</v>
      </c>
      <c r="E67" s="1"/>
      <c r="F67" s="22" t="s">
        <v>27</v>
      </c>
      <c r="G67" s="56">
        <f>G66/200</f>
        <v>2.125</v>
      </c>
      <c r="H67" s="24" t="s">
        <v>22</v>
      </c>
      <c r="I67" s="1"/>
      <c r="J67" s="22" t="s">
        <v>27</v>
      </c>
      <c r="K67" s="56">
        <f>K66/200</f>
        <v>4.1</v>
      </c>
      <c r="L67" s="24" t="s">
        <v>22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ht="15.75" customHeight="1">
      <c r="A68" s="1"/>
      <c r="B68" s="22" t="s">
        <v>28</v>
      </c>
      <c r="C68" s="56">
        <f>C66/200</f>
        <v>0</v>
      </c>
      <c r="D68" s="24" t="s">
        <v>22</v>
      </c>
      <c r="E68" s="1"/>
      <c r="F68" s="22" t="s">
        <v>28</v>
      </c>
      <c r="G68" s="56">
        <f>G66/200</f>
        <v>2.125</v>
      </c>
      <c r="H68" s="24" t="s">
        <v>22</v>
      </c>
      <c r="I68" s="1"/>
      <c r="J68" s="22" t="s">
        <v>28</v>
      </c>
      <c r="K68" s="56">
        <f>K66/200</f>
        <v>4.1</v>
      </c>
      <c r="L68" s="24" t="s">
        <v>22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ht="15.75" customHeight="1">
      <c r="A69" s="1"/>
      <c r="B69" s="59" t="s">
        <v>30</v>
      </c>
      <c r="C69" s="56">
        <f>C67+C68</f>
        <v>0</v>
      </c>
      <c r="D69" s="24" t="s">
        <v>22</v>
      </c>
      <c r="E69" s="1"/>
      <c r="F69" s="59" t="s">
        <v>30</v>
      </c>
      <c r="G69" s="56">
        <f>G67+G68</f>
        <v>4.25</v>
      </c>
      <c r="H69" s="24" t="s">
        <v>22</v>
      </c>
      <c r="I69" s="1"/>
      <c r="J69" s="59" t="s">
        <v>30</v>
      </c>
      <c r="K69" s="56">
        <f>K67+K68</f>
        <v>8.2</v>
      </c>
      <c r="L69" s="24" t="s">
        <v>22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ht="15.75" customHeight="1">
      <c r="A70" s="1"/>
      <c r="B70" s="22"/>
      <c r="C70" s="62"/>
      <c r="D70" s="24"/>
      <c r="E70" s="1"/>
      <c r="F70" s="22"/>
      <c r="G70" s="62" t="s">
        <v>72</v>
      </c>
      <c r="H70" s="24"/>
      <c r="I70" s="1"/>
      <c r="J70" s="22"/>
      <c r="K70" s="62"/>
      <c r="L70" s="2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ht="15.75" customHeight="1">
      <c r="A71" s="1"/>
      <c r="B71" s="22" t="s">
        <v>33</v>
      </c>
      <c r="C71" s="80">
        <v>40.0</v>
      </c>
      <c r="D71" s="24" t="s">
        <v>34</v>
      </c>
      <c r="E71" s="1"/>
      <c r="F71" s="22" t="s">
        <v>33</v>
      </c>
      <c r="G71" s="80">
        <v>40.0</v>
      </c>
      <c r="H71" s="24" t="s">
        <v>34</v>
      </c>
      <c r="I71" s="1"/>
      <c r="J71" s="22" t="s">
        <v>33</v>
      </c>
      <c r="K71" s="80">
        <v>40.0</v>
      </c>
      <c r="L71" s="24" t="s">
        <v>34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ht="15.75" customHeight="1">
      <c r="A72" s="1"/>
      <c r="B72" s="22" t="s">
        <v>36</v>
      </c>
      <c r="C72" s="56">
        <f>((((C66)*(C71/1000))*144.4)/231)</f>
        <v>0</v>
      </c>
      <c r="D72" s="24" t="s">
        <v>22</v>
      </c>
      <c r="E72" s="1"/>
      <c r="F72" s="22" t="s">
        <v>36</v>
      </c>
      <c r="G72" s="56">
        <f>((((G66)*(G71/1000))*144.4)/231)</f>
        <v>10.62683983</v>
      </c>
      <c r="H72" s="24" t="s">
        <v>22</v>
      </c>
      <c r="I72" s="1"/>
      <c r="J72" s="22" t="s">
        <v>36</v>
      </c>
      <c r="K72" s="56">
        <f>((((K66)*(K71/1000))*144.4)/231)</f>
        <v>20.50354978</v>
      </c>
      <c r="L72" s="24" t="s">
        <v>22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ht="15.75" customHeight="1">
      <c r="A73" s="1"/>
      <c r="B73" s="22"/>
      <c r="C73" s="63"/>
      <c r="D73" s="24"/>
      <c r="E73" s="1"/>
      <c r="F73" s="22"/>
      <c r="G73" s="63"/>
      <c r="H73" s="24"/>
      <c r="I73" s="1"/>
      <c r="J73" s="22"/>
      <c r="K73" s="63"/>
      <c r="L73" s="2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ht="15.75" customHeight="1">
      <c r="A74" s="1"/>
      <c r="B74" s="22" t="s">
        <v>73</v>
      </c>
      <c r="C74" s="66" t="str">
        <f>IF(C66,C66*0.5,"0")</f>
        <v>0</v>
      </c>
      <c r="D74" s="67" t="s">
        <v>40</v>
      </c>
      <c r="E74" s="1"/>
      <c r="F74" s="22" t="s">
        <v>73</v>
      </c>
      <c r="G74" s="66">
        <f>IF(G66,G66*0.5,"0")</f>
        <v>212.5</v>
      </c>
      <c r="H74" s="67" t="s">
        <v>40</v>
      </c>
      <c r="I74" s="1"/>
      <c r="J74" s="22" t="s">
        <v>73</v>
      </c>
      <c r="K74" s="66">
        <f>IF(K66,K66*0.5,"0")</f>
        <v>410</v>
      </c>
      <c r="L74" s="67" t="s">
        <v>40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ht="15.75" customHeight="1">
      <c r="A75" s="1"/>
      <c r="B75" s="22"/>
      <c r="C75" s="62"/>
      <c r="D75" s="24"/>
      <c r="E75" s="1"/>
      <c r="F75" s="22"/>
      <c r="G75" s="62"/>
      <c r="H75" s="24"/>
      <c r="I75" s="1"/>
      <c r="J75" s="22"/>
      <c r="K75" s="62"/>
      <c r="L75" s="2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ht="15.75" customHeight="1">
      <c r="A76" s="1"/>
      <c r="B76" s="22" t="s">
        <v>74</v>
      </c>
      <c r="C76" s="56" t="str">
        <f>IF(C66,C66/175,"0")</f>
        <v>0</v>
      </c>
      <c r="D76" s="24" t="s">
        <v>22</v>
      </c>
      <c r="E76" s="1"/>
      <c r="F76" s="22" t="s">
        <v>75</v>
      </c>
      <c r="G76" s="56">
        <f>IF(G61,G61/175,"0")</f>
        <v>2.428571429</v>
      </c>
      <c r="H76" s="24" t="s">
        <v>22</v>
      </c>
      <c r="I76" s="1"/>
      <c r="J76" s="22" t="s">
        <v>76</v>
      </c>
      <c r="K76" s="56">
        <f>IF(K66,K66/175,"0")</f>
        <v>4.685714286</v>
      </c>
      <c r="L76" s="24" t="s">
        <v>22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ht="15.75" customHeight="1">
      <c r="A77" s="1"/>
      <c r="B77" s="22" t="s">
        <v>77</v>
      </c>
      <c r="C77" s="66" t="str">
        <f>IF(C66,C66*0.5,"")</f>
        <v/>
      </c>
      <c r="D77" s="24" t="s">
        <v>40</v>
      </c>
      <c r="E77" s="1"/>
      <c r="F77" s="22" t="s">
        <v>77</v>
      </c>
      <c r="G77" s="66">
        <f>IF(G66,G66*0.5,"0")</f>
        <v>212.5</v>
      </c>
      <c r="H77" s="24" t="s">
        <v>40</v>
      </c>
      <c r="I77" s="1"/>
      <c r="J77" s="22" t="s">
        <v>77</v>
      </c>
      <c r="K77" s="66">
        <f>IF(K66,K66*0.5,"")</f>
        <v>410</v>
      </c>
      <c r="L77" s="2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ht="15.75" customHeight="1">
      <c r="A78" s="1"/>
      <c r="B78" s="22"/>
      <c r="C78" s="81"/>
      <c r="D78" s="24"/>
      <c r="E78" s="1"/>
      <c r="F78" s="22"/>
      <c r="G78" s="81"/>
      <c r="H78" s="24"/>
      <c r="I78" s="1"/>
      <c r="J78" s="22"/>
      <c r="K78" s="81"/>
      <c r="L78" s="2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ht="15.75" customHeight="1">
      <c r="A79" s="1"/>
      <c r="B79" s="22" t="s">
        <v>42</v>
      </c>
      <c r="C79" s="56" t="str">
        <f>IF(C66,C66/140,"0")</f>
        <v>0</v>
      </c>
      <c r="D79" s="24" t="s">
        <v>22</v>
      </c>
      <c r="E79" s="1"/>
      <c r="F79" s="22" t="s">
        <v>43</v>
      </c>
      <c r="G79" s="56">
        <f>IF(G66,G66/140,"0")</f>
        <v>3.035714286</v>
      </c>
      <c r="H79" s="24" t="s">
        <v>22</v>
      </c>
      <c r="I79" s="1"/>
      <c r="J79" s="22" t="s">
        <v>44</v>
      </c>
      <c r="K79" s="56">
        <f>IF(K66,K66/140,"0")</f>
        <v>5.857142857</v>
      </c>
      <c r="L79" s="24" t="s">
        <v>22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ht="15.75" customHeight="1">
      <c r="A80" s="1"/>
      <c r="B80" s="22" t="s">
        <v>46</v>
      </c>
      <c r="C80" s="56" t="str">
        <f>IF(C66,C66/200,"0")</f>
        <v>0</v>
      </c>
      <c r="D80" s="24" t="s">
        <v>22</v>
      </c>
      <c r="E80" s="1"/>
      <c r="F80" s="22" t="s">
        <v>47</v>
      </c>
      <c r="G80" s="56">
        <f>IF(G66,G66/200,"0")</f>
        <v>2.125</v>
      </c>
      <c r="H80" s="24" t="s">
        <v>22</v>
      </c>
      <c r="I80" s="1"/>
      <c r="J80" s="22" t="s">
        <v>48</v>
      </c>
      <c r="K80" s="56">
        <f>IF(K66,K66/200,"0")</f>
        <v>4.1</v>
      </c>
      <c r="L80" s="24" t="s">
        <v>22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ht="15.75" customHeight="1">
      <c r="A81" s="1"/>
      <c r="B81" s="22"/>
      <c r="C81" s="69"/>
      <c r="D81" s="24"/>
      <c r="E81" s="1"/>
      <c r="F81" s="22"/>
      <c r="G81" s="69"/>
      <c r="H81" s="24"/>
      <c r="I81" s="1"/>
      <c r="J81" s="22"/>
      <c r="K81" s="69"/>
      <c r="L81" s="2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ht="15.75" customHeight="1">
      <c r="A82" s="1"/>
      <c r="B82" s="22"/>
      <c r="C82" s="69"/>
      <c r="D82" s="24"/>
      <c r="E82" s="1"/>
      <c r="F82" s="22"/>
      <c r="G82" s="69"/>
      <c r="H82" s="24"/>
      <c r="I82" s="1"/>
      <c r="J82" s="22"/>
      <c r="K82" s="69"/>
      <c r="L82" s="2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ht="15.75" customHeight="1">
      <c r="A83" s="1"/>
      <c r="B83" s="59" t="s">
        <v>78</v>
      </c>
      <c r="C83" s="56">
        <f>C69</f>
        <v>0</v>
      </c>
      <c r="D83" s="24" t="s">
        <v>22</v>
      </c>
      <c r="E83" s="1"/>
      <c r="F83" s="59" t="s">
        <v>78</v>
      </c>
      <c r="G83" s="56">
        <f>G69</f>
        <v>4.25</v>
      </c>
      <c r="H83" s="24" t="s">
        <v>22</v>
      </c>
      <c r="I83" s="1"/>
      <c r="J83" s="59" t="s">
        <v>78</v>
      </c>
      <c r="K83" s="56">
        <f>K69</f>
        <v>8.2</v>
      </c>
      <c r="L83" s="24" t="s">
        <v>22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ht="15.75" customHeight="1">
      <c r="A84" s="1"/>
      <c r="B84" s="59" t="s">
        <v>79</v>
      </c>
      <c r="C84" s="66" t="str">
        <f>IF(C61,C74+C77,"0.00")</f>
        <v>0.00</v>
      </c>
      <c r="D84" s="24" t="s">
        <v>40</v>
      </c>
      <c r="E84" s="1"/>
      <c r="F84" s="59" t="s">
        <v>79</v>
      </c>
      <c r="G84" s="66">
        <f>IF(G61,G74+G77,"0.00")</f>
        <v>425</v>
      </c>
      <c r="H84" s="24" t="s">
        <v>40</v>
      </c>
      <c r="I84" s="1"/>
      <c r="J84" s="59" t="s">
        <v>79</v>
      </c>
      <c r="K84" s="66">
        <f>IF(K61,K74+K77,"0.00")</f>
        <v>820</v>
      </c>
      <c r="L84" s="24" t="s">
        <v>40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ht="15.75" customHeight="1">
      <c r="A85" s="1"/>
      <c r="B85" s="59" t="s">
        <v>51</v>
      </c>
      <c r="C85" s="56">
        <f>C76+C79+C80</f>
        <v>0</v>
      </c>
      <c r="D85" s="24" t="s">
        <v>22</v>
      </c>
      <c r="E85" s="1"/>
      <c r="F85" s="59" t="s">
        <v>52</v>
      </c>
      <c r="G85" s="50">
        <f>G76+G79+G80</f>
        <v>7.589285714</v>
      </c>
      <c r="H85" s="24" t="s">
        <v>22</v>
      </c>
      <c r="I85" s="1"/>
      <c r="J85" s="59" t="s">
        <v>53</v>
      </c>
      <c r="K85" s="56">
        <f>K76+K79+K80</f>
        <v>14.64285714</v>
      </c>
      <c r="L85" s="24" t="s">
        <v>22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ht="15.75" customHeight="1">
      <c r="A86" s="1"/>
      <c r="B86" s="22"/>
      <c r="C86" s="63"/>
      <c r="D86" s="24"/>
      <c r="E86" s="1"/>
      <c r="F86" s="22"/>
      <c r="G86" s="69"/>
      <c r="H86" s="24"/>
      <c r="I86" s="1"/>
      <c r="J86" s="22"/>
      <c r="K86" s="63"/>
      <c r="L86" s="2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ht="15.75" customHeight="1">
      <c r="A87" s="1"/>
      <c r="B87" s="59" t="s">
        <v>55</v>
      </c>
      <c r="C87" s="56" t="str">
        <f>IF(C66&gt;0,C79/5,"0.00")</f>
        <v>0.00</v>
      </c>
      <c r="D87" s="67" t="s">
        <v>56</v>
      </c>
      <c r="E87" s="1"/>
      <c r="F87" s="59" t="s">
        <v>57</v>
      </c>
      <c r="G87" s="56">
        <f>IF(G61,G66/100,"0")</f>
        <v>4.25</v>
      </c>
      <c r="H87" s="24" t="s">
        <v>22</v>
      </c>
      <c r="I87" s="1"/>
      <c r="J87" s="59" t="s">
        <v>55</v>
      </c>
      <c r="K87" s="56">
        <f>IF(K66&gt;0,K79/5,"0.00")</f>
        <v>1.171428571</v>
      </c>
      <c r="L87" s="67" t="s">
        <v>56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ht="15.75" customHeight="1">
      <c r="A88" s="1"/>
      <c r="B88" s="22"/>
      <c r="C88" s="56">
        <f>C79*4</f>
        <v>0</v>
      </c>
      <c r="D88" s="67" t="s">
        <v>59</v>
      </c>
      <c r="E88" s="1"/>
      <c r="F88" s="22"/>
      <c r="G88" s="63"/>
      <c r="H88" s="24"/>
      <c r="I88" s="1"/>
      <c r="J88" s="22"/>
      <c r="K88" s="56">
        <f>K79*4</f>
        <v>23.42857143</v>
      </c>
      <c r="L88" s="67" t="s">
        <v>59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ht="15.75" customHeight="1">
      <c r="A89" s="1"/>
      <c r="B89" s="73" t="s">
        <v>61</v>
      </c>
      <c r="C89" s="74"/>
      <c r="D89" s="55"/>
      <c r="E89" s="1"/>
      <c r="F89" s="22" t="s">
        <v>55</v>
      </c>
      <c r="G89" s="56">
        <f>IF(G66&gt;0,G80/5,"0.00")</f>
        <v>0.425</v>
      </c>
      <c r="H89" s="67" t="s">
        <v>56</v>
      </c>
      <c r="I89" s="1"/>
      <c r="J89" s="73" t="s">
        <v>62</v>
      </c>
      <c r="K89" s="74"/>
      <c r="L89" s="5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ht="15.75" customHeight="1">
      <c r="A90" s="1"/>
      <c r="B90" s="1"/>
      <c r="C90" s="1"/>
      <c r="D90" s="1"/>
      <c r="E90" s="1"/>
      <c r="F90" s="22"/>
      <c r="G90" s="56">
        <f>G80*4</f>
        <v>8.5</v>
      </c>
      <c r="H90" s="67" t="s">
        <v>59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ht="15.75" customHeight="1">
      <c r="A91" s="1"/>
      <c r="B91" s="1"/>
      <c r="C91" s="1"/>
      <c r="D91" s="1"/>
      <c r="E91" s="1"/>
      <c r="F91" s="75"/>
      <c r="G91" s="74"/>
      <c r="H91" s="5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ht="15.75" customHeight="1">
      <c r="B164" s="1"/>
      <c r="C164" s="1"/>
      <c r="D164" s="1"/>
      <c r="F164" s="1"/>
      <c r="G164" s="1"/>
      <c r="H164" s="1"/>
      <c r="J164" s="1"/>
      <c r="K164" s="1"/>
      <c r="L164" s="1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2:D2"/>
    <mergeCell ref="F2:H2"/>
    <mergeCell ref="J2:L2"/>
    <mergeCell ref="R2:T2"/>
    <mergeCell ref="F3:H3"/>
    <mergeCell ref="J3:L3"/>
    <mergeCell ref="R12:T12"/>
    <mergeCell ref="B58:D58"/>
    <mergeCell ref="F58:H58"/>
    <mergeCell ref="J58:L58"/>
    <mergeCell ref="B59:D59"/>
    <mergeCell ref="F59:H59"/>
    <mergeCell ref="J59:L59"/>
    <mergeCell ref="B3:D3"/>
    <mergeCell ref="B30:D30"/>
    <mergeCell ref="F30:H30"/>
    <mergeCell ref="J30:L30"/>
    <mergeCell ref="B31:D31"/>
    <mergeCell ref="F31:H31"/>
    <mergeCell ref="J31:L3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480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57"/>
    <col customWidth="1" min="3" max="3" width="7.86"/>
    <col customWidth="1" min="4" max="4" width="5.86"/>
    <col customWidth="1" min="5" max="26" width="8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80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2" t="s">
        <v>81</v>
      </c>
      <c r="C3" s="12"/>
      <c r="D3" s="1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2"/>
      <c r="C4" s="23"/>
      <c r="D4" s="2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2" t="s">
        <v>14</v>
      </c>
      <c r="C5" s="83">
        <v>40.0</v>
      </c>
      <c r="D5" s="24" t="s">
        <v>15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5"/>
      <c r="C6" s="26"/>
      <c r="D6" s="2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2" t="s">
        <v>20</v>
      </c>
      <c r="C7" s="45"/>
      <c r="D7" s="24" t="s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2" t="s">
        <v>23</v>
      </c>
      <c r="C8" s="45"/>
      <c r="D8" s="24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2"/>
      <c r="C9" s="48"/>
      <c r="D9" s="2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2" t="s">
        <v>26</v>
      </c>
      <c r="C10" s="50">
        <f>(C7*C8)+C5</f>
        <v>40</v>
      </c>
      <c r="D10" s="51" t="s">
        <v>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4" t="s">
        <v>82</v>
      </c>
      <c r="C11" s="85"/>
      <c r="D11" s="5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9" t="s">
        <v>83</v>
      </c>
      <c r="C12" s="56">
        <f>C10/70</f>
        <v>0.5714285714</v>
      </c>
      <c r="D12" s="24" t="s">
        <v>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2" t="s">
        <v>84</v>
      </c>
      <c r="C13" s="56">
        <f>IF(C10,C12*0.333333333333333,"0")</f>
        <v>0.1904761905</v>
      </c>
      <c r="D13" s="24" t="s">
        <v>85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2"/>
      <c r="C14" s="86"/>
      <c r="D14" s="2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2" t="s">
        <v>86</v>
      </c>
      <c r="C15" s="56">
        <f>C10/60</f>
        <v>0.6666666667</v>
      </c>
      <c r="D15" s="24" t="s">
        <v>22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2" t="s">
        <v>84</v>
      </c>
      <c r="C16" s="56">
        <f>IF(C10,C15*0.333333333333333,"0")</f>
        <v>0.2222222222</v>
      </c>
      <c r="D16" s="24" t="s">
        <v>85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2"/>
      <c r="C17" s="86"/>
      <c r="D17" s="2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7" t="s">
        <v>87</v>
      </c>
      <c r="C18" s="50">
        <f>C12+C15</f>
        <v>1.238095238</v>
      </c>
      <c r="D18" s="24" t="s">
        <v>22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8" t="s">
        <v>88</v>
      </c>
      <c r="C19" s="56">
        <f>IF(C10,C13+C16,"0")</f>
        <v>0.4126984127</v>
      </c>
      <c r="D19" s="24" t="s">
        <v>85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9"/>
      <c r="C20" s="89"/>
      <c r="D20" s="2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90" t="s">
        <v>89</v>
      </c>
      <c r="C21" s="81"/>
      <c r="D21" s="2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9" t="s">
        <v>90</v>
      </c>
      <c r="C22" s="56">
        <f>C10/300</f>
        <v>0.1333333333</v>
      </c>
      <c r="D22" s="24" t="s">
        <v>22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9" t="s">
        <v>91</v>
      </c>
      <c r="C23" s="56">
        <f>C10/300</f>
        <v>0.1333333333</v>
      </c>
      <c r="D23" s="24" t="s">
        <v>22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9" t="s">
        <v>92</v>
      </c>
      <c r="C24" s="56">
        <f>C10/1500</f>
        <v>0.02666666667</v>
      </c>
      <c r="D24" s="24" t="s">
        <v>22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9" t="s">
        <v>93</v>
      </c>
      <c r="C25" s="56">
        <f>C10/160</f>
        <v>0.25</v>
      </c>
      <c r="D25" s="67" t="s">
        <v>22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75"/>
      <c r="C26" s="74"/>
      <c r="D26" s="5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D2"/>
    <mergeCell ref="B3:D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0"/>
    <col customWidth="1" min="3" max="3" width="10.14"/>
    <col customWidth="1" min="4" max="4" width="5.57"/>
    <col customWidth="1" min="5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94</v>
      </c>
      <c r="C2" s="3"/>
      <c r="D2" s="4"/>
      <c r="E2" s="1"/>
      <c r="F2" s="9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2" t="s">
        <v>95</v>
      </c>
      <c r="C3" s="12"/>
      <c r="D3" s="13"/>
      <c r="E3" s="1"/>
      <c r="F3" s="9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2"/>
      <c r="C4" s="23"/>
      <c r="D4" s="24"/>
      <c r="E4" s="1"/>
      <c r="F4" s="9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2" t="s">
        <v>14</v>
      </c>
      <c r="C5" s="83"/>
      <c r="D5" s="24" t="s">
        <v>15</v>
      </c>
      <c r="E5" s="1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5"/>
      <c r="C6" s="26"/>
      <c r="D6" s="27"/>
      <c r="E6" s="1"/>
      <c r="F6" s="9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2" t="s">
        <v>20</v>
      </c>
      <c r="C7" s="45"/>
      <c r="D7" s="24" t="s">
        <v>13</v>
      </c>
      <c r="E7" s="1"/>
      <c r="F7" s="9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2" t="s">
        <v>23</v>
      </c>
      <c r="C8" s="45"/>
      <c r="D8" s="24" t="s">
        <v>13</v>
      </c>
      <c r="E8" s="1"/>
      <c r="F8" s="9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5"/>
      <c r="C9" s="26"/>
      <c r="D9" s="27"/>
      <c r="E9" s="1"/>
      <c r="F9" s="9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2" t="s">
        <v>20</v>
      </c>
      <c r="C10" s="45"/>
      <c r="D10" s="24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2" t="s">
        <v>23</v>
      </c>
      <c r="C11" s="45"/>
      <c r="D11" s="24" t="s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2"/>
      <c r="C12" s="48"/>
      <c r="D12" s="2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2" t="s">
        <v>26</v>
      </c>
      <c r="C13" s="50">
        <f>(C10*C11)+(C7*C8)+C5</f>
        <v>0</v>
      </c>
      <c r="D13" s="51" t="s">
        <v>15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2"/>
      <c r="C14" s="63"/>
      <c r="D14" s="2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9" t="s">
        <v>96</v>
      </c>
      <c r="C15" s="56">
        <f>C13/200</f>
        <v>0</v>
      </c>
      <c r="D15" s="24" t="s">
        <v>22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4" t="s">
        <v>97</v>
      </c>
      <c r="C16" s="56">
        <f>C13/400</f>
        <v>0</v>
      </c>
      <c r="D16" s="24" t="s">
        <v>22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4" t="s">
        <v>98</v>
      </c>
      <c r="C17" s="56">
        <f>C13/400</f>
        <v>0</v>
      </c>
      <c r="D17" s="24" t="s">
        <v>22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2"/>
      <c r="C18" s="63"/>
      <c r="D18" s="2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9" t="s">
        <v>99</v>
      </c>
      <c r="C19" s="56">
        <f>C16+C17</f>
        <v>0</v>
      </c>
      <c r="D19" s="24" t="s">
        <v>22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5"/>
      <c r="C20" s="74"/>
      <c r="D20" s="5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D2"/>
    <mergeCell ref="B3:D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86"/>
    <col customWidth="1" min="3" max="3" width="7.86"/>
    <col customWidth="1" min="4" max="5" width="7.71"/>
    <col customWidth="1" min="6" max="6" width="45.57"/>
    <col customWidth="1" min="7" max="7" width="7.86"/>
    <col customWidth="1" min="8" max="8" width="6.71"/>
    <col customWidth="1" min="9" max="28" width="7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100</v>
      </c>
      <c r="C2" s="3"/>
      <c r="D2" s="4"/>
      <c r="E2" s="1"/>
      <c r="F2" s="2" t="s">
        <v>100</v>
      </c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82" t="s">
        <v>101</v>
      </c>
      <c r="C3" s="12"/>
      <c r="D3" s="13"/>
      <c r="E3" s="1"/>
      <c r="F3" s="82" t="s">
        <v>102</v>
      </c>
      <c r="G3" s="12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22"/>
      <c r="C4" s="23"/>
      <c r="D4" s="24"/>
      <c r="E4" s="1"/>
      <c r="F4" s="22"/>
      <c r="G4" s="95"/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22" t="s">
        <v>14</v>
      </c>
      <c r="C5" s="96"/>
      <c r="D5" s="24" t="s">
        <v>15</v>
      </c>
      <c r="E5" s="1"/>
      <c r="F5" s="22" t="s">
        <v>103</v>
      </c>
      <c r="G5" s="56" t="str">
        <f>IF(C10,C10/140,"")</f>
        <v/>
      </c>
      <c r="H5" s="67" t="s">
        <v>22</v>
      </c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</row>
    <row r="6">
      <c r="A6" s="1"/>
      <c r="B6" s="25"/>
      <c r="C6" s="26"/>
      <c r="D6" s="27"/>
      <c r="E6" s="1"/>
      <c r="F6" s="22" t="s">
        <v>104</v>
      </c>
      <c r="G6" s="56" t="str">
        <f>IF(C10,C10/160,"")</f>
        <v/>
      </c>
      <c r="H6" s="98" t="s">
        <v>22</v>
      </c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</row>
    <row r="7">
      <c r="A7" s="1"/>
      <c r="B7" s="22" t="s">
        <v>20</v>
      </c>
      <c r="C7" s="45"/>
      <c r="D7" s="24" t="s">
        <v>13</v>
      </c>
      <c r="E7" s="1"/>
      <c r="F7" s="94" t="s">
        <v>105</v>
      </c>
      <c r="G7" s="56" t="str">
        <f>IF(C10,G5+G6,"")</f>
        <v/>
      </c>
      <c r="H7" s="98" t="s">
        <v>22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</row>
    <row r="8">
      <c r="A8" s="1"/>
      <c r="B8" s="22" t="s">
        <v>23</v>
      </c>
      <c r="C8" s="45"/>
      <c r="D8" s="24" t="s">
        <v>13</v>
      </c>
      <c r="E8" s="1"/>
      <c r="F8" s="22"/>
      <c r="G8" s="69"/>
      <c r="H8" s="98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</row>
    <row r="9">
      <c r="A9" s="1"/>
      <c r="B9" s="22"/>
      <c r="C9" s="48"/>
      <c r="D9" s="24"/>
      <c r="E9" s="1"/>
      <c r="F9" s="84" t="s">
        <v>106</v>
      </c>
      <c r="G9" s="63"/>
      <c r="H9" s="6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</row>
    <row r="10">
      <c r="A10" s="1"/>
      <c r="B10" s="22" t="s">
        <v>26</v>
      </c>
      <c r="C10" s="50">
        <f>(C7*C8)+C5</f>
        <v>0</v>
      </c>
      <c r="D10" s="51" t="s">
        <v>15</v>
      </c>
      <c r="E10" s="1"/>
      <c r="F10" s="22" t="s">
        <v>107</v>
      </c>
      <c r="G10" s="56" t="str">
        <f>IF(C10,C10/100,"")</f>
        <v/>
      </c>
      <c r="H10" s="67" t="s">
        <v>22</v>
      </c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</row>
    <row r="11">
      <c r="A11" s="1"/>
      <c r="B11" s="22"/>
      <c r="C11" s="63"/>
      <c r="D11" s="24"/>
      <c r="E11" s="1"/>
      <c r="F11" s="22" t="s">
        <v>108</v>
      </c>
      <c r="G11" s="56" t="str">
        <f>IF(C10,C10/140,"")</f>
        <v/>
      </c>
      <c r="H11" s="67" t="s">
        <v>22</v>
      </c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</row>
    <row r="12">
      <c r="A12" s="1"/>
      <c r="B12" s="84" t="s">
        <v>109</v>
      </c>
      <c r="C12" s="63"/>
      <c r="D12" s="24"/>
      <c r="E12" s="1"/>
      <c r="F12" s="94" t="s">
        <v>110</v>
      </c>
      <c r="G12" s="56" t="str">
        <f>IF(C10,G10+G11,"")</f>
        <v/>
      </c>
      <c r="H12" s="67" t="s">
        <v>22</v>
      </c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</row>
    <row r="13">
      <c r="A13" s="1"/>
      <c r="B13" s="22" t="s">
        <v>111</v>
      </c>
      <c r="C13" s="56" t="str">
        <f>IF(C10,C10/200,"")</f>
        <v/>
      </c>
      <c r="D13" s="24" t="s">
        <v>112</v>
      </c>
      <c r="E13" s="1"/>
      <c r="F13" s="94" t="s">
        <v>113</v>
      </c>
      <c r="G13" s="56" t="str">
        <f>IF(C10,C10/350,"")</f>
        <v/>
      </c>
      <c r="H13" s="67" t="s">
        <v>22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</row>
    <row r="14">
      <c r="A14" s="1"/>
      <c r="B14" s="22" t="s">
        <v>114</v>
      </c>
      <c r="C14" s="56" t="str">
        <f>IF(C10,C10/200,"")</f>
        <v/>
      </c>
      <c r="D14" s="24" t="s">
        <v>22</v>
      </c>
      <c r="E14" s="1"/>
      <c r="F14" s="22" t="s">
        <v>55</v>
      </c>
      <c r="G14" s="56" t="str">
        <f>IF(C10&gt;0,G13/5,"")</f>
        <v/>
      </c>
      <c r="H14" s="67" t="s">
        <v>56</v>
      </c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>
      <c r="A15" s="1"/>
      <c r="B15" s="22" t="s">
        <v>115</v>
      </c>
      <c r="C15" s="56" t="str">
        <f>IF(C10,C13*6,"")</f>
        <v/>
      </c>
      <c r="D15" s="24" t="s">
        <v>116</v>
      </c>
      <c r="E15" s="1"/>
      <c r="F15" s="22"/>
      <c r="G15" s="56" t="str">
        <f>IF(C10,G13*4,"")</f>
        <v/>
      </c>
      <c r="H15" s="67" t="s">
        <v>59</v>
      </c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>
      <c r="A16" s="1"/>
      <c r="B16" s="22"/>
      <c r="C16" s="69"/>
      <c r="D16" s="24"/>
      <c r="E16" s="1"/>
      <c r="F16" s="75"/>
      <c r="G16" s="74"/>
      <c r="H16" s="99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>
      <c r="A17" s="1"/>
      <c r="B17" s="100" t="s">
        <v>117</v>
      </c>
      <c r="C17" s="63"/>
      <c r="D17" s="24"/>
      <c r="E17" s="1"/>
      <c r="F17" s="1"/>
      <c r="G17" s="1"/>
      <c r="H17" s="1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>
      <c r="A18" s="1"/>
      <c r="B18" s="22" t="s">
        <v>118</v>
      </c>
      <c r="C18" s="56" t="str">
        <f>IF(C10,C10/100,"")</f>
        <v/>
      </c>
      <c r="D18" s="24" t="s">
        <v>119</v>
      </c>
      <c r="E18" s="1"/>
      <c r="F18" s="1"/>
      <c r="G18" s="1"/>
      <c r="H18" s="1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>
      <c r="A19" s="1"/>
      <c r="B19" s="22" t="s">
        <v>120</v>
      </c>
      <c r="C19" s="56" t="str">
        <f>IF(C10,C18*2,"")</f>
        <v/>
      </c>
      <c r="D19" s="24" t="s">
        <v>119</v>
      </c>
      <c r="E19" s="1"/>
      <c r="F19" s="1"/>
      <c r="G19" s="1"/>
      <c r="H19" s="1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>
      <c r="A20" s="1"/>
      <c r="B20" s="22"/>
      <c r="C20" s="69"/>
      <c r="D20" s="24"/>
      <c r="E20" s="1"/>
      <c r="F20" s="1"/>
      <c r="G20" s="1"/>
      <c r="H20" s="1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ht="15.75" customHeight="1">
      <c r="A21" s="1"/>
      <c r="B21" s="84" t="s">
        <v>121</v>
      </c>
      <c r="C21" s="63"/>
      <c r="D21" s="24"/>
      <c r="E21" s="1"/>
      <c r="F21" s="1"/>
      <c r="G21" s="1"/>
      <c r="H21" s="1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</row>
    <row r="22" ht="15.75" customHeight="1">
      <c r="A22" s="1"/>
      <c r="B22" s="22" t="s">
        <v>111</v>
      </c>
      <c r="C22" s="56" t="str">
        <f>IF(C10,C10/175,"")</f>
        <v/>
      </c>
      <c r="D22" s="24" t="s">
        <v>112</v>
      </c>
      <c r="E22" s="1"/>
      <c r="F22" s="1"/>
      <c r="G22" s="1"/>
      <c r="H22" s="1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</row>
    <row r="23" ht="15.75" customHeight="1">
      <c r="A23" s="1"/>
      <c r="B23" s="22" t="s">
        <v>114</v>
      </c>
      <c r="C23" s="56" t="str">
        <f>IF(C10,C10/175,"")</f>
        <v/>
      </c>
      <c r="D23" s="24" t="s">
        <v>22</v>
      </c>
      <c r="E23" s="1"/>
      <c r="F23" s="1"/>
      <c r="G23" s="1"/>
      <c r="H23" s="1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</row>
    <row r="24" ht="15.75" customHeight="1">
      <c r="A24" s="1"/>
      <c r="B24" s="22" t="s">
        <v>122</v>
      </c>
      <c r="C24" s="56" t="str">
        <f>IF(C10,C22*2,"")</f>
        <v/>
      </c>
      <c r="D24" s="24" t="s">
        <v>116</v>
      </c>
      <c r="E24" s="1"/>
      <c r="F24" s="1"/>
      <c r="G24" s="1"/>
      <c r="H24" s="1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</row>
    <row r="25" ht="15.75" customHeight="1">
      <c r="A25" s="1"/>
      <c r="B25" s="22"/>
      <c r="C25" s="63"/>
      <c r="D25" s="24"/>
      <c r="E25" s="1"/>
      <c r="F25" s="1"/>
      <c r="G25" s="1"/>
      <c r="H25" s="1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</row>
    <row r="26" ht="15.75" customHeight="1">
      <c r="A26" s="1"/>
      <c r="B26" s="84" t="s">
        <v>123</v>
      </c>
      <c r="C26" s="63"/>
      <c r="D26" s="24"/>
      <c r="E26" s="1"/>
      <c r="F26" s="1"/>
      <c r="G26" s="1"/>
      <c r="H26" s="1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</row>
    <row r="27" ht="15.75" customHeight="1">
      <c r="A27" s="1"/>
      <c r="B27" s="22" t="s">
        <v>124</v>
      </c>
      <c r="C27" s="56" t="str">
        <f>IF(C10,C10/225,"")</f>
        <v/>
      </c>
      <c r="D27" s="24" t="s">
        <v>22</v>
      </c>
      <c r="E27" s="1"/>
      <c r="F27" s="1"/>
      <c r="G27" s="1"/>
      <c r="H27" s="1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</row>
    <row r="28" ht="15.75" customHeight="1">
      <c r="A28" s="1"/>
      <c r="B28" s="22"/>
      <c r="C28" s="69"/>
      <c r="D28" s="24"/>
      <c r="E28" s="1"/>
      <c r="F28" s="1"/>
      <c r="G28" s="1"/>
      <c r="H28" s="1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</row>
    <row r="29" ht="15.75" customHeight="1">
      <c r="A29" s="1"/>
      <c r="B29" s="22"/>
      <c r="C29" s="69"/>
      <c r="D29" s="24"/>
      <c r="E29" s="1"/>
      <c r="F29" s="1"/>
      <c r="G29" s="1"/>
      <c r="H29" s="1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</row>
    <row r="30" ht="15.75" customHeight="1">
      <c r="A30" s="1"/>
      <c r="B30" s="94" t="s">
        <v>125</v>
      </c>
      <c r="C30" s="56" t="str">
        <f>IF(C10,C13+C22,"")</f>
        <v/>
      </c>
      <c r="D30" s="24" t="s">
        <v>112</v>
      </c>
      <c r="E30" s="1"/>
      <c r="F30" s="1"/>
      <c r="G30" s="1"/>
      <c r="H30" s="1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</row>
    <row r="31" ht="15.75" customHeight="1">
      <c r="A31" s="1"/>
      <c r="B31" s="94" t="s">
        <v>126</v>
      </c>
      <c r="C31" s="56" t="str">
        <f>IF(C10,C18,"")</f>
        <v/>
      </c>
      <c r="D31" s="24" t="s">
        <v>119</v>
      </c>
      <c r="E31" s="1"/>
      <c r="F31" s="1"/>
      <c r="G31" s="1"/>
      <c r="H31" s="1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</row>
    <row r="32" ht="15.75" customHeight="1">
      <c r="A32" s="1"/>
      <c r="B32" s="94" t="s">
        <v>127</v>
      </c>
      <c r="C32" s="56" t="str">
        <f>IF(C10,C19,"")</f>
        <v/>
      </c>
      <c r="D32" s="24" t="s">
        <v>119</v>
      </c>
      <c r="E32" s="1"/>
      <c r="F32" s="1"/>
      <c r="G32" s="1"/>
      <c r="H32" s="1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</row>
    <row r="33" ht="15.75" customHeight="1">
      <c r="A33" s="1"/>
      <c r="B33" s="94" t="s">
        <v>128</v>
      </c>
      <c r="C33" s="50" t="str">
        <f>IF(C10,C14+C23,"")</f>
        <v/>
      </c>
      <c r="D33" s="24" t="s">
        <v>22</v>
      </c>
      <c r="E33" s="1"/>
      <c r="F33" s="1"/>
      <c r="G33" s="1"/>
      <c r="H33" s="1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</row>
    <row r="34" ht="15.75" customHeight="1">
      <c r="A34" s="1"/>
      <c r="B34" s="94" t="s">
        <v>129</v>
      </c>
      <c r="C34" s="56" t="str">
        <f>IF(C10,C35/32,"")</f>
        <v/>
      </c>
      <c r="D34" s="24" t="s">
        <v>130</v>
      </c>
      <c r="E34" s="1"/>
      <c r="F34" s="1"/>
      <c r="G34" s="1"/>
      <c r="H34" s="1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</row>
    <row r="35" ht="15.75" customHeight="1">
      <c r="A35" s="1"/>
      <c r="B35" s="94"/>
      <c r="C35" s="56" t="str">
        <f>IF(C10,C15,"")</f>
        <v/>
      </c>
      <c r="D35" s="101" t="s">
        <v>116</v>
      </c>
      <c r="E35" s="1"/>
      <c r="F35" s="1"/>
      <c r="G35" s="1"/>
      <c r="H35" s="1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</row>
    <row r="36" ht="15.75" customHeight="1">
      <c r="A36" s="1"/>
      <c r="B36" s="94" t="s">
        <v>131</v>
      </c>
      <c r="C36" s="56" t="str">
        <f>IF(C10,C37/32,"")</f>
        <v/>
      </c>
      <c r="D36" s="24" t="s">
        <v>130</v>
      </c>
      <c r="E36" s="1"/>
      <c r="F36" s="1"/>
      <c r="G36" s="1"/>
      <c r="H36" s="1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</row>
    <row r="37" ht="15.75" customHeight="1">
      <c r="A37" s="1"/>
      <c r="B37" s="59"/>
      <c r="C37" s="56" t="str">
        <f>IF(C10,C24,"")</f>
        <v/>
      </c>
      <c r="D37" s="101" t="s">
        <v>116</v>
      </c>
      <c r="E37" s="1"/>
      <c r="F37" s="1"/>
      <c r="G37" s="1"/>
      <c r="H37" s="1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</row>
    <row r="38" ht="15.75" customHeight="1">
      <c r="A38" s="1"/>
      <c r="B38" s="75"/>
      <c r="C38" s="74"/>
      <c r="D38" s="55"/>
      <c r="E38" s="1"/>
      <c r="F38" s="1"/>
      <c r="G38" s="1"/>
      <c r="H38" s="1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E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E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E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F2:H2"/>
    <mergeCell ref="B3:D3"/>
    <mergeCell ref="F3:H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71"/>
    <col customWidth="1" min="3" max="3" width="7.86"/>
    <col customWidth="1" min="4" max="5" width="7.71"/>
    <col customWidth="1" min="6" max="6" width="45.57"/>
    <col customWidth="1" min="7" max="7" width="7.86"/>
    <col customWidth="1" min="8" max="8" width="6.71"/>
    <col customWidth="1" min="9" max="28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132</v>
      </c>
      <c r="C2" s="3"/>
      <c r="D2" s="4"/>
      <c r="E2" s="1"/>
      <c r="F2" s="2" t="s">
        <v>132</v>
      </c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82" t="s">
        <v>101</v>
      </c>
      <c r="C3" s="12"/>
      <c r="D3" s="13"/>
      <c r="E3" s="1"/>
      <c r="F3" s="82" t="s">
        <v>102</v>
      </c>
      <c r="G3" s="12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22"/>
      <c r="C4" s="23"/>
      <c r="D4" s="24"/>
      <c r="E4" s="1"/>
      <c r="F4" s="22"/>
      <c r="G4" s="95"/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22" t="s">
        <v>14</v>
      </c>
      <c r="C5" s="83"/>
      <c r="D5" s="24" t="s">
        <v>15</v>
      </c>
      <c r="E5" s="1"/>
      <c r="F5" s="22" t="s">
        <v>103</v>
      </c>
      <c r="G5" s="56" t="str">
        <f>IF(C10,C10/140,"")</f>
        <v/>
      </c>
      <c r="H5" s="67" t="s">
        <v>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25"/>
      <c r="C6" s="26"/>
      <c r="D6" s="27"/>
      <c r="E6" s="1"/>
      <c r="F6" s="22" t="s">
        <v>104</v>
      </c>
      <c r="G6" s="56" t="str">
        <f>IF(C10,C10/160,"")</f>
        <v/>
      </c>
      <c r="H6" s="98" t="s">
        <v>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22" t="s">
        <v>20</v>
      </c>
      <c r="C7" s="45"/>
      <c r="D7" s="24" t="s">
        <v>13</v>
      </c>
      <c r="E7" s="1"/>
      <c r="F7" s="94" t="s">
        <v>133</v>
      </c>
      <c r="G7" s="56" t="str">
        <f>IF(C10,G5+G6,"")</f>
        <v/>
      </c>
      <c r="H7" s="98" t="s">
        <v>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22" t="s">
        <v>23</v>
      </c>
      <c r="C8" s="45"/>
      <c r="D8" s="24" t="s">
        <v>13</v>
      </c>
      <c r="E8" s="1"/>
      <c r="F8" s="22"/>
      <c r="G8" s="69"/>
      <c r="H8" s="9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22"/>
      <c r="C9" s="48"/>
      <c r="D9" s="24"/>
      <c r="E9" s="1"/>
      <c r="F9" s="84" t="s">
        <v>106</v>
      </c>
      <c r="G9" s="63"/>
      <c r="H9" s="6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22" t="s">
        <v>26</v>
      </c>
      <c r="C10" s="50">
        <f>(C7*C8)+C5</f>
        <v>0</v>
      </c>
      <c r="D10" s="51" t="s">
        <v>15</v>
      </c>
      <c r="E10" s="1"/>
      <c r="F10" s="22" t="s">
        <v>134</v>
      </c>
      <c r="G10" s="56" t="str">
        <f>IF(C10,C10/100,"")</f>
        <v/>
      </c>
      <c r="H10" s="67" t="s">
        <v>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22"/>
      <c r="C11" s="63"/>
      <c r="D11" s="24"/>
      <c r="E11" s="1"/>
      <c r="F11" s="22" t="s">
        <v>135</v>
      </c>
      <c r="G11" s="56" t="str">
        <f>IF(C10,C10/140,"")</f>
        <v/>
      </c>
      <c r="H11" s="67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84" t="s">
        <v>109</v>
      </c>
      <c r="C12" s="63"/>
      <c r="D12" s="24"/>
      <c r="E12" s="1"/>
      <c r="F12" s="94" t="s">
        <v>87</v>
      </c>
      <c r="G12" s="56" t="str">
        <f>IF(C10,G10+G11,"")</f>
        <v/>
      </c>
      <c r="H12" s="67" t="s">
        <v>22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22" t="s">
        <v>111</v>
      </c>
      <c r="C13" s="56" t="str">
        <f>IF(C10,C10/200,"")</f>
        <v/>
      </c>
      <c r="D13" s="24" t="s">
        <v>112</v>
      </c>
      <c r="E13" s="1"/>
      <c r="F13" s="94" t="s">
        <v>136</v>
      </c>
      <c r="G13" s="56" t="str">
        <f>IF(C10,C10/350,"")</f>
        <v/>
      </c>
      <c r="H13" s="67" t="s">
        <v>22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22" t="s">
        <v>114</v>
      </c>
      <c r="C14" s="56" t="str">
        <f>IF(C10,C10/200,"")</f>
        <v/>
      </c>
      <c r="D14" s="24" t="s">
        <v>22</v>
      </c>
      <c r="E14" s="1"/>
      <c r="F14" s="22" t="s">
        <v>137</v>
      </c>
      <c r="G14" s="56" t="str">
        <f>IF(C10&gt;0,G13/5,"")</f>
        <v/>
      </c>
      <c r="H14" s="67" t="s">
        <v>56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22" t="s">
        <v>115</v>
      </c>
      <c r="C15" s="56" t="str">
        <f>IF(C10,C13*6,"")</f>
        <v/>
      </c>
      <c r="D15" s="24" t="s">
        <v>116</v>
      </c>
      <c r="E15" s="1"/>
      <c r="F15" s="22"/>
      <c r="G15" s="56" t="str">
        <f>IF(C10,G13*4,"")</f>
        <v/>
      </c>
      <c r="H15" s="67" t="s">
        <v>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22"/>
      <c r="C16" s="63"/>
      <c r="D16" s="24"/>
      <c r="E16" s="1"/>
      <c r="F16" s="75"/>
      <c r="G16" s="74"/>
      <c r="H16" s="9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84" t="s">
        <v>138</v>
      </c>
      <c r="C17" s="63"/>
      <c r="D17" s="2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2" t="s">
        <v>118</v>
      </c>
      <c r="C18" s="56" t="str">
        <f>IF(C10,C10/100,"")</f>
        <v/>
      </c>
      <c r="D18" s="24" t="s">
        <v>119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2" t="s">
        <v>120</v>
      </c>
      <c r="C19" s="56" t="str">
        <f>IF(C10,C18*2,"")</f>
        <v/>
      </c>
      <c r="D19" s="24" t="s">
        <v>119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2"/>
      <c r="C20" s="69"/>
      <c r="D20" s="2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/>
      <c r="B21" s="84" t="s">
        <v>121</v>
      </c>
      <c r="C21" s="63"/>
      <c r="D21" s="2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/>
      <c r="B22" s="22" t="s">
        <v>111</v>
      </c>
      <c r="C22" s="56" t="str">
        <f>IF(C10,C10/250,"")</f>
        <v/>
      </c>
      <c r="D22" s="24" t="s">
        <v>112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/>
      <c r="B23" s="22" t="s">
        <v>114</v>
      </c>
      <c r="C23" s="56" t="str">
        <f>IF(C10,C10/200,"")</f>
        <v/>
      </c>
      <c r="D23" s="24" t="s">
        <v>22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22" t="s">
        <v>122</v>
      </c>
      <c r="C24" s="56" t="str">
        <f>IF(C10,C22*2,"")</f>
        <v/>
      </c>
      <c r="D24" s="24" t="s">
        <v>116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22"/>
      <c r="C25" s="63"/>
      <c r="D25" s="2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84" t="s">
        <v>123</v>
      </c>
      <c r="C26" s="63"/>
      <c r="D26" s="2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/>
      <c r="B27" s="22" t="s">
        <v>124</v>
      </c>
      <c r="C27" s="56" t="str">
        <f>IF(C10,C10/225,"")</f>
        <v/>
      </c>
      <c r="D27" s="24" t="s">
        <v>22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/>
      <c r="B28" s="22"/>
      <c r="C28" s="69"/>
      <c r="D28" s="2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/>
      <c r="B29" s="22"/>
      <c r="C29" s="69"/>
      <c r="D29" s="2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94" t="s">
        <v>125</v>
      </c>
      <c r="C30" s="56" t="str">
        <f>IF(C10,C13+C22,"")</f>
        <v/>
      </c>
      <c r="D30" s="24" t="s">
        <v>112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94" t="s">
        <v>126</v>
      </c>
      <c r="C31" s="56" t="str">
        <f>IF(C10,C18,"")</f>
        <v/>
      </c>
      <c r="D31" s="24" t="s">
        <v>119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94" t="s">
        <v>127</v>
      </c>
      <c r="C32" s="56" t="str">
        <f>IF(C10,C19,"")</f>
        <v/>
      </c>
      <c r="D32" s="24" t="s">
        <v>119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94" t="s">
        <v>139</v>
      </c>
      <c r="C33" s="50" t="str">
        <f>IF(C10,C14+C23,"")</f>
        <v/>
      </c>
      <c r="D33" s="24" t="s">
        <v>22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94" t="s">
        <v>129</v>
      </c>
      <c r="C34" s="56" t="str">
        <f>IF(C10,C35/32,"")</f>
        <v/>
      </c>
      <c r="D34" s="24" t="s">
        <v>140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94"/>
      <c r="C35" s="56" t="str">
        <f>IF(C10,C15,"")</f>
        <v/>
      </c>
      <c r="D35" s="101" t="s">
        <v>116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94" t="s">
        <v>131</v>
      </c>
      <c r="C36" s="56" t="str">
        <f>IF(C10,C37/32,"")</f>
        <v/>
      </c>
      <c r="D36" s="24" t="s">
        <v>140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59"/>
      <c r="C37" s="56" t="str">
        <f>IF(C10,C24,"")</f>
        <v/>
      </c>
      <c r="D37" s="101" t="s">
        <v>116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75"/>
      <c r="C38" s="74"/>
      <c r="D38" s="5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F2:H2"/>
    <mergeCell ref="B3:D3"/>
    <mergeCell ref="F3:H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480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71"/>
    <col customWidth="1" min="3" max="3" width="7.86"/>
    <col customWidth="1" min="4" max="5" width="7.71"/>
    <col customWidth="1" min="6" max="6" width="45.57"/>
    <col customWidth="1" min="7" max="7" width="7.86"/>
    <col customWidth="1" min="8" max="8" width="6.71"/>
    <col customWidth="1" min="9" max="9" width="6.86"/>
    <col customWidth="1" min="10" max="10" width="27.43"/>
    <col customWidth="1" min="11" max="11" width="8.71"/>
    <col customWidth="1" min="12" max="12" width="12.29"/>
    <col customWidth="1" min="13" max="13" width="6.86"/>
    <col customWidth="1" min="14" max="14" width="27.43"/>
    <col customWidth="1" min="15" max="15" width="8.71"/>
    <col customWidth="1" min="16" max="16" width="10.14"/>
    <col customWidth="1" min="17" max="17" width="6.86"/>
    <col customWidth="1" min="18" max="28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141</v>
      </c>
      <c r="C2" s="3"/>
      <c r="D2" s="4"/>
      <c r="E2" s="1"/>
      <c r="F2" s="2" t="s">
        <v>141</v>
      </c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82" t="s">
        <v>101</v>
      </c>
      <c r="C3" s="12"/>
      <c r="D3" s="13"/>
      <c r="E3" s="1"/>
      <c r="F3" s="82" t="s">
        <v>102</v>
      </c>
      <c r="G3" s="12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22"/>
      <c r="C4" s="23"/>
      <c r="D4" s="24"/>
      <c r="E4" s="1"/>
      <c r="F4" s="22"/>
      <c r="G4" s="95"/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22" t="s">
        <v>14</v>
      </c>
      <c r="C5" s="102">
        <v>400.0</v>
      </c>
      <c r="D5" s="103" t="s">
        <v>142</v>
      </c>
      <c r="E5" s="1"/>
      <c r="F5" s="22" t="s">
        <v>103</v>
      </c>
      <c r="G5" s="56">
        <f>IF(C10,C10/140,"")</f>
        <v>2.857142857</v>
      </c>
      <c r="H5" s="67" t="s">
        <v>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25"/>
      <c r="C6" s="26"/>
      <c r="D6" s="27"/>
      <c r="E6" s="1"/>
      <c r="F6" s="22" t="s">
        <v>104</v>
      </c>
      <c r="G6" s="56">
        <f>IF(C10,C10/160,"")</f>
        <v>2.5</v>
      </c>
      <c r="H6" s="98" t="s">
        <v>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22" t="s">
        <v>20</v>
      </c>
      <c r="C7" s="104">
        <v>0.0</v>
      </c>
      <c r="D7" s="24" t="s">
        <v>13</v>
      </c>
      <c r="E7" s="1"/>
      <c r="F7" s="94" t="s">
        <v>105</v>
      </c>
      <c r="G7" s="56">
        <f>IF(C10,G5+G6,"")</f>
        <v>5.357142857</v>
      </c>
      <c r="H7" s="98" t="s">
        <v>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22" t="s">
        <v>23</v>
      </c>
      <c r="C8" s="104">
        <v>0.0</v>
      </c>
      <c r="D8" s="24" t="s">
        <v>13</v>
      </c>
      <c r="E8" s="1"/>
      <c r="F8" s="22"/>
      <c r="G8" s="69"/>
      <c r="H8" s="9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22"/>
      <c r="C9" s="48"/>
      <c r="D9" s="24"/>
      <c r="E9" s="1"/>
      <c r="F9" s="84" t="s">
        <v>106</v>
      </c>
      <c r="G9" s="63"/>
      <c r="H9" s="6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22" t="s">
        <v>26</v>
      </c>
      <c r="C10" s="66">
        <f>(C7*C8)+C5</f>
        <v>400</v>
      </c>
      <c r="D10" s="51" t="s">
        <v>15</v>
      </c>
      <c r="E10" s="1"/>
      <c r="F10" s="22" t="s">
        <v>134</v>
      </c>
      <c r="G10" s="56">
        <f>IF(C10,C10/100,"")</f>
        <v>4</v>
      </c>
      <c r="H10" s="67" t="s">
        <v>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22"/>
      <c r="C11" s="105"/>
      <c r="D11" s="51"/>
      <c r="E11" s="1"/>
      <c r="F11" s="22" t="s">
        <v>135</v>
      </c>
      <c r="G11" s="56">
        <f>IF(C10,C10/140,"")</f>
        <v>2.857142857</v>
      </c>
      <c r="H11" s="67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84" t="s">
        <v>109</v>
      </c>
      <c r="C12" s="63"/>
      <c r="D12" s="24"/>
      <c r="E12" s="1"/>
      <c r="F12" s="94" t="s">
        <v>87</v>
      </c>
      <c r="G12" s="56">
        <f>IF(C10,G10+G11,"")</f>
        <v>6.857142857</v>
      </c>
      <c r="H12" s="67" t="s">
        <v>22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22" t="s">
        <v>111</v>
      </c>
      <c r="C13" s="56">
        <f>IF(C10,C10/200,"")</f>
        <v>2</v>
      </c>
      <c r="D13" s="24" t="s">
        <v>112</v>
      </c>
      <c r="E13" s="1"/>
      <c r="F13" s="94" t="s">
        <v>136</v>
      </c>
      <c r="G13" s="56">
        <f>IF(C10,C10/350,"")</f>
        <v>1.142857143</v>
      </c>
      <c r="H13" s="67" t="s">
        <v>22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22" t="s">
        <v>114</v>
      </c>
      <c r="C14" s="56">
        <f>IF(C10,C10/200,"")</f>
        <v>2</v>
      </c>
      <c r="D14" s="24" t="s">
        <v>22</v>
      </c>
      <c r="E14" s="1"/>
      <c r="F14" s="22" t="s">
        <v>137</v>
      </c>
      <c r="G14" s="56">
        <f>IF(C10&gt;0,G13/5,"")</f>
        <v>0.2285714286</v>
      </c>
      <c r="H14" s="67" t="s">
        <v>56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22" t="s">
        <v>115</v>
      </c>
      <c r="C15" s="56">
        <f>IF(C10,C13*6,"")</f>
        <v>12</v>
      </c>
      <c r="D15" s="24" t="s">
        <v>116</v>
      </c>
      <c r="E15" s="1"/>
      <c r="F15" s="22"/>
      <c r="G15" s="56">
        <f>IF(C10,G13*4,"")</f>
        <v>4.571428571</v>
      </c>
      <c r="H15" s="67" t="s">
        <v>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22"/>
      <c r="C16" s="63"/>
      <c r="D16" s="24"/>
      <c r="E16" s="1"/>
      <c r="F16" s="75"/>
      <c r="G16" s="74"/>
      <c r="H16" s="9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84" t="s">
        <v>143</v>
      </c>
      <c r="C17" s="63"/>
      <c r="D17" s="2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2" t="s">
        <v>118</v>
      </c>
      <c r="C18" s="56">
        <f>IF(C10,C10/100,"")</f>
        <v>4</v>
      </c>
      <c r="D18" s="24" t="s">
        <v>119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2" t="s">
        <v>120</v>
      </c>
      <c r="C19" s="56">
        <f>IF(C10,C18*2,"")</f>
        <v>8</v>
      </c>
      <c r="D19" s="24" t="s">
        <v>119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2"/>
      <c r="C20" s="69"/>
      <c r="D20" s="2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/>
      <c r="B21" s="84" t="s">
        <v>121</v>
      </c>
      <c r="C21" s="63"/>
      <c r="D21" s="2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/>
      <c r="B22" s="22" t="s">
        <v>111</v>
      </c>
      <c r="C22" s="56">
        <f>IF(C10,C10/200,"")</f>
        <v>2</v>
      </c>
      <c r="D22" s="24" t="s">
        <v>112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/>
      <c r="B23" s="22" t="s">
        <v>114</v>
      </c>
      <c r="C23" s="56">
        <f>IF(C10,C10/200,"")</f>
        <v>2</v>
      </c>
      <c r="D23" s="24" t="s">
        <v>22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22" t="s">
        <v>122</v>
      </c>
      <c r="C24" s="56">
        <f>IF(C10,C22*2,"")</f>
        <v>4</v>
      </c>
      <c r="D24" s="24" t="s">
        <v>116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22"/>
      <c r="C25" s="63"/>
      <c r="D25" s="2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84" t="s">
        <v>123</v>
      </c>
      <c r="C26" s="63"/>
      <c r="D26" s="2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/>
      <c r="B27" s="22" t="s">
        <v>124</v>
      </c>
      <c r="C27" s="56">
        <f>IF(C10,C10/225,"")</f>
        <v>1.777777778</v>
      </c>
      <c r="D27" s="24" t="s">
        <v>22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/>
      <c r="B28" s="22"/>
      <c r="C28" s="69"/>
      <c r="D28" s="2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/>
      <c r="B29" s="22"/>
      <c r="C29" s="69"/>
      <c r="D29" s="2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94" t="s">
        <v>125</v>
      </c>
      <c r="C30" s="56">
        <f>IF(C10,C13+C22,"")</f>
        <v>4</v>
      </c>
      <c r="D30" s="24" t="s">
        <v>112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94" t="s">
        <v>126</v>
      </c>
      <c r="C31" s="56">
        <f>IF(C10,C18,"")</f>
        <v>4</v>
      </c>
      <c r="D31" s="24" t="s">
        <v>119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94" t="s">
        <v>127</v>
      </c>
      <c r="C32" s="56">
        <f>IF(C10,C19,"")</f>
        <v>8</v>
      </c>
      <c r="D32" s="24" t="s">
        <v>119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94" t="s">
        <v>139</v>
      </c>
      <c r="C33" s="50">
        <f>IF(C10,C14+C23,"")</f>
        <v>4</v>
      </c>
      <c r="D33" s="24" t="s">
        <v>22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94" t="s">
        <v>129</v>
      </c>
      <c r="C34" s="56">
        <f>IF(C10,C15/32,"")</f>
        <v>0.375</v>
      </c>
      <c r="D34" s="24" t="s">
        <v>130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94"/>
      <c r="C35" s="56">
        <f>C15</f>
        <v>12</v>
      </c>
      <c r="D35" s="101" t="s">
        <v>116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94" t="s">
        <v>144</v>
      </c>
      <c r="C36" s="56">
        <f>IF(C10,C24/32,"")</f>
        <v>0.125</v>
      </c>
      <c r="D36" s="24" t="s">
        <v>130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22"/>
      <c r="C37" s="56">
        <f>IF(C10,C24,"")</f>
        <v>4</v>
      </c>
      <c r="D37" s="101" t="s">
        <v>116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75"/>
      <c r="C38" s="74"/>
      <c r="D38" s="5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F2:H2"/>
    <mergeCell ref="B3:D3"/>
    <mergeCell ref="F3:H3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7.86"/>
    <col customWidth="1" min="4" max="4" width="7.57"/>
    <col customWidth="1" min="5" max="6" width="9.14"/>
    <col customWidth="1" min="7" max="26" width="8.71"/>
  </cols>
  <sheetData>
    <row r="1">
      <c r="A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145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2" t="s">
        <v>146</v>
      </c>
      <c r="C3" s="12"/>
      <c r="D3" s="1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2"/>
      <c r="C4" s="23"/>
      <c r="D4" s="2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2" t="s">
        <v>14</v>
      </c>
      <c r="C5" s="106">
        <v>3400.0</v>
      </c>
      <c r="D5" s="24" t="s">
        <v>15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5"/>
      <c r="C6" s="107"/>
      <c r="D6" s="2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2" t="s">
        <v>20</v>
      </c>
      <c r="C7" s="104"/>
      <c r="D7" s="24" t="s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2" t="s">
        <v>23</v>
      </c>
      <c r="C8" s="104"/>
      <c r="D8" s="24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2"/>
      <c r="C9" s="48"/>
      <c r="D9" s="2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2" t="s">
        <v>26</v>
      </c>
      <c r="C10" s="50">
        <f>(C7*C8)+C5</f>
        <v>3400</v>
      </c>
      <c r="D10" s="24" t="s">
        <v>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2"/>
      <c r="C11" s="63"/>
      <c r="D11" s="2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2" t="s">
        <v>147</v>
      </c>
      <c r="C12" s="56">
        <f>C10/400</f>
        <v>8.5</v>
      </c>
      <c r="D12" s="24" t="s">
        <v>140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2"/>
      <c r="C13" s="69"/>
      <c r="D13" s="2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2" t="s">
        <v>148</v>
      </c>
      <c r="C14" s="56">
        <f>C12*9/4</f>
        <v>19.125</v>
      </c>
      <c r="D14" s="24" t="s">
        <v>22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5"/>
      <c r="C15" s="74"/>
      <c r="D15" s="5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D2"/>
    <mergeCell ref="B3:D3"/>
  </mergeCells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5.14"/>
    <col customWidth="1" min="3" max="3" width="7.86"/>
    <col customWidth="1" min="4" max="4" width="7.29"/>
    <col customWidth="1" min="5" max="5" width="7.71"/>
    <col customWidth="1" min="6" max="6" width="28.0"/>
    <col customWidth="1" min="7" max="7" width="7.86"/>
    <col customWidth="1" min="8" max="8" width="7.14"/>
    <col customWidth="1" min="9" max="9" width="7.71"/>
    <col customWidth="1" min="10" max="10" width="28.0"/>
    <col customWidth="1" min="11" max="12" width="7.86"/>
    <col customWidth="1" min="13" max="13" width="7.71"/>
    <col customWidth="1" min="14" max="14" width="28.0"/>
    <col customWidth="1" min="15" max="15" width="7.86"/>
    <col customWidth="1" min="16" max="16" width="6.43"/>
    <col customWidth="1" min="17" max="17" width="7.71"/>
    <col customWidth="1" min="18" max="18" width="26.14"/>
    <col customWidth="1" min="19" max="20" width="7.86"/>
    <col customWidth="1" min="21" max="3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2" t="s">
        <v>149</v>
      </c>
      <c r="C2" s="3"/>
      <c r="D2" s="4"/>
      <c r="E2" s="1"/>
      <c r="F2" s="2" t="s">
        <v>149</v>
      </c>
      <c r="G2" s="3"/>
      <c r="H2" s="4"/>
      <c r="I2" s="1"/>
      <c r="J2" s="2" t="s">
        <v>149</v>
      </c>
      <c r="K2" s="3"/>
      <c r="L2" s="4"/>
      <c r="N2" s="2" t="s">
        <v>149</v>
      </c>
      <c r="O2" s="3"/>
      <c r="P2" s="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1" t="s">
        <v>6</v>
      </c>
      <c r="C3" s="12"/>
      <c r="D3" s="13"/>
      <c r="E3" s="1"/>
      <c r="F3" s="14" t="s">
        <v>7</v>
      </c>
      <c r="G3" s="12"/>
      <c r="H3" s="13"/>
      <c r="I3" s="1"/>
      <c r="J3" s="108" t="s">
        <v>150</v>
      </c>
      <c r="K3" s="12"/>
      <c r="L3" s="13"/>
      <c r="M3" s="1"/>
      <c r="N3" s="109" t="s">
        <v>151</v>
      </c>
      <c r="O3" s="12"/>
      <c r="P3" s="1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/>
      <c r="B4" s="22"/>
      <c r="C4" s="23"/>
      <c r="D4" s="24"/>
      <c r="E4" s="1"/>
      <c r="F4" s="22"/>
      <c r="G4" s="23"/>
      <c r="H4" s="24"/>
      <c r="I4" s="1"/>
      <c r="J4" s="22"/>
      <c r="K4" s="23"/>
      <c r="L4" s="24"/>
      <c r="M4" s="1"/>
      <c r="N4" s="22"/>
      <c r="O4" s="23"/>
      <c r="P4" s="2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"/>
      <c r="B5" s="22" t="s">
        <v>14</v>
      </c>
      <c r="C5" s="104"/>
      <c r="D5" s="24" t="s">
        <v>15</v>
      </c>
      <c r="E5" s="1"/>
      <c r="F5" s="22" t="s">
        <v>14</v>
      </c>
      <c r="G5" s="106"/>
      <c r="H5" s="24" t="s">
        <v>15</v>
      </c>
      <c r="I5" s="1"/>
      <c r="J5" s="22" t="s">
        <v>14</v>
      </c>
      <c r="K5" s="106"/>
      <c r="L5" s="24"/>
      <c r="M5" s="1"/>
      <c r="N5" s="22" t="s">
        <v>14</v>
      </c>
      <c r="O5" s="106"/>
      <c r="P5" s="24" t="s">
        <v>15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"/>
      <c r="B6" s="25"/>
      <c r="C6" s="26"/>
      <c r="D6" s="27"/>
      <c r="E6" s="1"/>
      <c r="F6" s="25"/>
      <c r="G6" s="26"/>
      <c r="H6" s="27"/>
      <c r="I6" s="1"/>
      <c r="J6" s="25"/>
      <c r="K6" s="26"/>
      <c r="L6" s="27"/>
      <c r="M6" s="1"/>
      <c r="N6" s="25"/>
      <c r="O6" s="26"/>
      <c r="P6" s="2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"/>
      <c r="B7" s="22" t="s">
        <v>20</v>
      </c>
      <c r="C7" s="45"/>
      <c r="D7" s="24" t="s">
        <v>13</v>
      </c>
      <c r="E7" s="1"/>
      <c r="F7" s="22" t="s">
        <v>20</v>
      </c>
      <c r="G7" s="45"/>
      <c r="H7" s="24" t="s">
        <v>13</v>
      </c>
      <c r="I7" s="1"/>
      <c r="J7" s="22" t="s">
        <v>20</v>
      </c>
      <c r="K7" s="45"/>
      <c r="L7" s="24" t="s">
        <v>13</v>
      </c>
      <c r="M7" s="1"/>
      <c r="N7" s="22" t="s">
        <v>20</v>
      </c>
      <c r="O7" s="45"/>
      <c r="P7" s="24" t="s">
        <v>13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1"/>
      <c r="B8" s="22" t="s">
        <v>23</v>
      </c>
      <c r="C8" s="45"/>
      <c r="D8" s="24" t="s">
        <v>13</v>
      </c>
      <c r="E8" s="1"/>
      <c r="F8" s="22" t="s">
        <v>23</v>
      </c>
      <c r="G8" s="45"/>
      <c r="H8" s="24" t="s">
        <v>13</v>
      </c>
      <c r="I8" s="1"/>
      <c r="J8" s="22" t="s">
        <v>23</v>
      </c>
      <c r="K8" s="45"/>
      <c r="L8" s="24" t="s">
        <v>13</v>
      </c>
      <c r="M8" s="1"/>
      <c r="N8" s="22" t="s">
        <v>23</v>
      </c>
      <c r="O8" s="45"/>
      <c r="P8" s="24" t="s">
        <v>13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1"/>
      <c r="B9" s="22"/>
      <c r="C9" s="48"/>
      <c r="D9" s="24"/>
      <c r="E9" s="1"/>
      <c r="F9" s="22"/>
      <c r="G9" s="48"/>
      <c r="H9" s="24"/>
      <c r="I9" s="1"/>
      <c r="J9" s="22"/>
      <c r="K9" s="48"/>
      <c r="L9" s="24"/>
      <c r="M9" s="1"/>
      <c r="N9" s="22"/>
      <c r="O9" s="48"/>
      <c r="P9" s="24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1"/>
      <c r="B10" s="22" t="s">
        <v>26</v>
      </c>
      <c r="C10" s="50">
        <f>(C7*C8)+C5</f>
        <v>0</v>
      </c>
      <c r="D10" s="51" t="s">
        <v>15</v>
      </c>
      <c r="E10" s="1"/>
      <c r="F10" s="22" t="s">
        <v>26</v>
      </c>
      <c r="G10" s="50">
        <f>(G7*G8)+G5</f>
        <v>0</v>
      </c>
      <c r="H10" s="51" t="s">
        <v>15</v>
      </c>
      <c r="I10" s="1"/>
      <c r="J10" s="22" t="s">
        <v>26</v>
      </c>
      <c r="K10" s="50">
        <f>(K7*K8)+K5</f>
        <v>0</v>
      </c>
      <c r="L10" s="51" t="s">
        <v>15</v>
      </c>
      <c r="M10" s="1"/>
      <c r="N10" s="22" t="s">
        <v>26</v>
      </c>
      <c r="O10" s="50">
        <f>(O7*O8)+O5</f>
        <v>0</v>
      </c>
      <c r="P10" s="51" t="s">
        <v>15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1"/>
      <c r="B11" s="22"/>
      <c r="C11" s="63"/>
      <c r="D11" s="24"/>
      <c r="E11" s="1"/>
      <c r="F11" s="22"/>
      <c r="G11" s="63"/>
      <c r="H11" s="24"/>
      <c r="I11" s="1"/>
      <c r="J11" s="22"/>
      <c r="K11" s="63"/>
      <c r="L11" s="24"/>
      <c r="M11" s="1"/>
      <c r="N11" s="22"/>
      <c r="O11" s="63"/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1"/>
      <c r="B12" s="59" t="s">
        <v>152</v>
      </c>
      <c r="C12" s="56">
        <f>C10/175</f>
        <v>0</v>
      </c>
      <c r="D12" s="24" t="s">
        <v>22</v>
      </c>
      <c r="E12" s="110"/>
      <c r="F12" s="59" t="s">
        <v>152</v>
      </c>
      <c r="G12" s="56">
        <f>G10/175</f>
        <v>0</v>
      </c>
      <c r="H12" s="24" t="s">
        <v>153</v>
      </c>
      <c r="I12" s="110"/>
      <c r="J12" s="59" t="s">
        <v>152</v>
      </c>
      <c r="K12" s="56">
        <f>K10/175</f>
        <v>0</v>
      </c>
      <c r="L12" s="24" t="s">
        <v>22</v>
      </c>
      <c r="M12" s="1"/>
      <c r="N12" s="59" t="s">
        <v>152</v>
      </c>
      <c r="O12" s="56">
        <f>O10/175</f>
        <v>0</v>
      </c>
      <c r="P12" s="24" t="s">
        <v>22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1"/>
      <c r="B13" s="22"/>
      <c r="C13" s="63"/>
      <c r="D13" s="24"/>
      <c r="E13" s="1"/>
      <c r="F13" s="22"/>
      <c r="G13" s="63"/>
      <c r="H13" s="24"/>
      <c r="I13" s="1"/>
      <c r="J13" s="22"/>
      <c r="K13" s="63"/>
      <c r="L13" s="24"/>
      <c r="M13" s="1"/>
      <c r="N13" s="22"/>
      <c r="O13" s="63"/>
      <c r="P13" s="2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1"/>
      <c r="B14" s="59" t="s">
        <v>154</v>
      </c>
      <c r="C14" s="56">
        <f>C10*0.166666666666666</f>
        <v>0</v>
      </c>
      <c r="D14" s="24" t="s">
        <v>40</v>
      </c>
      <c r="E14" s="1"/>
      <c r="F14" s="59" t="s">
        <v>154</v>
      </c>
      <c r="G14" s="56">
        <f>G10*0.166666666666666</f>
        <v>0</v>
      </c>
      <c r="H14" s="24" t="s">
        <v>40</v>
      </c>
      <c r="I14" s="1"/>
      <c r="J14" s="59" t="s">
        <v>154</v>
      </c>
      <c r="K14" s="56">
        <f>K10*0.166666666666666</f>
        <v>0</v>
      </c>
      <c r="L14" s="24" t="s">
        <v>40</v>
      </c>
      <c r="M14" s="1"/>
      <c r="N14" s="59" t="s">
        <v>154</v>
      </c>
      <c r="O14" s="56">
        <f>O10*0.166666666666666</f>
        <v>0</v>
      </c>
      <c r="P14" s="24" t="s">
        <v>40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1"/>
      <c r="B15" s="22"/>
      <c r="C15" s="63"/>
      <c r="D15" s="24"/>
      <c r="E15" s="1"/>
      <c r="F15" s="22"/>
      <c r="G15" s="62"/>
      <c r="H15" s="24"/>
      <c r="I15" s="1"/>
      <c r="J15" s="22"/>
      <c r="K15" s="62"/>
      <c r="L15" s="24"/>
      <c r="M15" s="1"/>
      <c r="N15" s="22"/>
      <c r="O15" s="62"/>
      <c r="P15" s="24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1"/>
      <c r="B16" s="22" t="s">
        <v>42</v>
      </c>
      <c r="C16" s="56" t="str">
        <f>IF(C10,C10/160,"0.00")</f>
        <v>0.00</v>
      </c>
      <c r="D16" s="24" t="s">
        <v>22</v>
      </c>
      <c r="E16" s="1"/>
      <c r="F16" s="22" t="s">
        <v>43</v>
      </c>
      <c r="G16" s="56" t="str">
        <f>IF(G10,G10/160,"0.00")</f>
        <v>0.00</v>
      </c>
      <c r="H16" s="24" t="s">
        <v>22</v>
      </c>
      <c r="I16" s="1"/>
      <c r="J16" s="22" t="s">
        <v>155</v>
      </c>
      <c r="K16" s="56" t="str">
        <f>IF(K10,K10/160,"0.00")</f>
        <v>0.00</v>
      </c>
      <c r="L16" s="24" t="s">
        <v>22</v>
      </c>
      <c r="M16" s="57"/>
      <c r="N16" s="22" t="s">
        <v>156</v>
      </c>
      <c r="O16" s="56" t="str">
        <f>IF(O10,O10/100,"0.00")</f>
        <v>0.00</v>
      </c>
      <c r="P16" s="24" t="s">
        <v>22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1"/>
      <c r="B17" s="22" t="s">
        <v>46</v>
      </c>
      <c r="C17" s="56" t="str">
        <f>IF(C10,C10/260,"0.00")</f>
        <v>0.00</v>
      </c>
      <c r="D17" s="24" t="s">
        <v>22</v>
      </c>
      <c r="E17" s="1"/>
      <c r="F17" s="22" t="s">
        <v>47</v>
      </c>
      <c r="G17" s="56" t="str">
        <f>IF(G10,G10/240,"0.00")</f>
        <v>0.00</v>
      </c>
      <c r="H17" s="24" t="s">
        <v>22</v>
      </c>
      <c r="I17" s="1"/>
      <c r="J17" s="22" t="s">
        <v>157</v>
      </c>
      <c r="K17" s="56" t="str">
        <f>IF(K10,K10/240,"0.00")</f>
        <v>0.00</v>
      </c>
      <c r="L17" s="24" t="s">
        <v>22</v>
      </c>
      <c r="M17" s="57"/>
      <c r="N17" s="59"/>
      <c r="O17" s="111"/>
      <c r="P17" s="24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1"/>
      <c r="B18" s="59" t="s">
        <v>51</v>
      </c>
      <c r="C18" s="56">
        <f>C16+C17</f>
        <v>0</v>
      </c>
      <c r="D18" s="24"/>
      <c r="E18" s="1"/>
      <c r="F18" s="59" t="s">
        <v>52</v>
      </c>
      <c r="G18" s="56">
        <f>G16+G17</f>
        <v>0</v>
      </c>
      <c r="H18" s="24" t="s">
        <v>22</v>
      </c>
      <c r="I18" s="1"/>
      <c r="J18" s="59" t="s">
        <v>158</v>
      </c>
      <c r="K18" s="56">
        <f>K16+K17</f>
        <v>0</v>
      </c>
      <c r="L18" s="24"/>
      <c r="M18" s="1"/>
      <c r="N18" s="112" t="s">
        <v>159</v>
      </c>
      <c r="O18" s="81"/>
      <c r="P18" s="2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1"/>
      <c r="B19" s="22"/>
      <c r="C19" s="63"/>
      <c r="D19" s="24"/>
      <c r="E19" s="1"/>
      <c r="F19" s="22"/>
      <c r="G19" s="69"/>
      <c r="H19" s="24"/>
      <c r="I19" s="1"/>
      <c r="J19" s="22"/>
      <c r="K19" s="63"/>
      <c r="L19" s="24"/>
      <c r="M19" s="1"/>
      <c r="N19" s="59" t="s">
        <v>90</v>
      </c>
      <c r="O19" s="56" t="str">
        <f>IF(O10,O10/300,"")</f>
        <v/>
      </c>
      <c r="P19" s="24" t="s">
        <v>22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1"/>
      <c r="B20" s="22" t="s">
        <v>55</v>
      </c>
      <c r="C20" s="56" t="str">
        <f>IF(C10&gt;0,C17/5,"0.00")</f>
        <v>0.00</v>
      </c>
      <c r="D20" s="67" t="s">
        <v>56</v>
      </c>
      <c r="E20" s="1"/>
      <c r="F20" s="59" t="s">
        <v>57</v>
      </c>
      <c r="G20" s="56" t="str">
        <f>IF(G10,G10/110,"0.00")</f>
        <v>0.00</v>
      </c>
      <c r="H20" s="24" t="s">
        <v>22</v>
      </c>
      <c r="I20" s="57"/>
      <c r="J20" s="22" t="s">
        <v>55</v>
      </c>
      <c r="K20" s="56" t="str">
        <f>IF(K10&gt;0,K17/5,"0.00")</f>
        <v>0.00</v>
      </c>
      <c r="L20" s="113"/>
      <c r="M20" s="1"/>
      <c r="N20" s="59" t="s">
        <v>91</v>
      </c>
      <c r="O20" s="56" t="str">
        <f>IF(O10,O10/300,"")</f>
        <v/>
      </c>
      <c r="P20" s="24" t="s">
        <v>22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ht="15.75" customHeight="1">
      <c r="A21" s="1"/>
      <c r="B21" s="22"/>
      <c r="C21" s="56">
        <f>C17*4</f>
        <v>0</v>
      </c>
      <c r="D21" s="67" t="s">
        <v>59</v>
      </c>
      <c r="E21" s="1"/>
      <c r="F21" s="22"/>
      <c r="G21" s="63"/>
      <c r="H21" s="24"/>
      <c r="I21" s="1"/>
      <c r="J21" s="22"/>
      <c r="K21" s="56">
        <f>K17*4</f>
        <v>0</v>
      </c>
      <c r="L21" s="67" t="s">
        <v>59</v>
      </c>
      <c r="M21" s="1"/>
      <c r="N21" s="59" t="s">
        <v>92</v>
      </c>
      <c r="O21" s="56" t="str">
        <f>IF(O10,O10/1500,"")</f>
        <v/>
      </c>
      <c r="P21" s="24" t="s">
        <v>22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ht="15.75" customHeight="1">
      <c r="A22" s="1"/>
      <c r="B22" s="75"/>
      <c r="C22" s="74"/>
      <c r="D22" s="55"/>
      <c r="E22" s="1"/>
      <c r="F22" s="22" t="s">
        <v>55</v>
      </c>
      <c r="G22" s="56" t="str">
        <f>IF(G10&gt;0,G17/5,"0.00")</f>
        <v>0.00</v>
      </c>
      <c r="H22" s="67" t="s">
        <v>56</v>
      </c>
      <c r="I22" s="1"/>
      <c r="J22" s="75"/>
      <c r="K22" s="74"/>
      <c r="L22" s="114"/>
      <c r="M22" s="1"/>
      <c r="N22" s="22"/>
      <c r="O22" s="63"/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5.75" customHeight="1">
      <c r="A23" s="1"/>
      <c r="B23" s="1"/>
      <c r="C23" s="1"/>
      <c r="D23" s="1"/>
      <c r="E23" s="1"/>
      <c r="F23" s="22"/>
      <c r="G23" s="56">
        <f>G17*4</f>
        <v>0</v>
      </c>
      <c r="H23" s="67" t="s">
        <v>59</v>
      </c>
      <c r="I23" s="1"/>
      <c r="J23" s="1"/>
      <c r="K23" s="1"/>
      <c r="L23" s="1"/>
      <c r="M23" s="1"/>
      <c r="N23" s="22" t="s">
        <v>160</v>
      </c>
      <c r="O23" s="56" t="str">
        <f>IF(O10&gt;0,O19/5,"")</f>
        <v/>
      </c>
      <c r="P23" s="11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5.75" customHeight="1">
      <c r="A24" s="1"/>
      <c r="B24" s="1"/>
      <c r="C24" s="1"/>
      <c r="D24" s="1"/>
      <c r="E24" s="1"/>
      <c r="F24" s="75"/>
      <c r="G24" s="74"/>
      <c r="H24" s="114"/>
      <c r="I24" s="1"/>
      <c r="J24" s="1"/>
      <c r="K24" s="1"/>
      <c r="L24" s="1"/>
      <c r="M24" s="1"/>
      <c r="N24" s="75"/>
      <c r="O24" s="74"/>
      <c r="P24" s="11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5.75" customHeight="1">
      <c r="A25" s="1"/>
      <c r="B25" s="1"/>
      <c r="C25" s="1"/>
      <c r="D25" s="1"/>
      <c r="E25" s="1"/>
      <c r="F25" s="115"/>
      <c r="G25" s="116"/>
      <c r="H25" s="3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5.75" customHeight="1">
      <c r="A26" s="1"/>
      <c r="B26" s="117" t="s">
        <v>161</v>
      </c>
      <c r="C26" s="118"/>
      <c r="D26" s="119"/>
      <c r="E26" s="1"/>
      <c r="F26" s="117" t="s">
        <v>161</v>
      </c>
      <c r="G26" s="118"/>
      <c r="H26" s="119"/>
      <c r="I26" s="1"/>
      <c r="J26" s="117" t="s">
        <v>161</v>
      </c>
      <c r="K26" s="118"/>
      <c r="L26" s="119"/>
      <c r="M26" s="1"/>
      <c r="N26" s="117" t="s">
        <v>161</v>
      </c>
      <c r="O26" s="118"/>
      <c r="P26" s="119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5.75" customHeight="1">
      <c r="A27" s="1"/>
      <c r="B27" s="11" t="s">
        <v>6</v>
      </c>
      <c r="C27" s="12"/>
      <c r="D27" s="13"/>
      <c r="E27" s="1"/>
      <c r="F27" s="14" t="s">
        <v>7</v>
      </c>
      <c r="G27" s="12"/>
      <c r="H27" s="13"/>
      <c r="I27" s="1"/>
      <c r="J27" s="108" t="s">
        <v>150</v>
      </c>
      <c r="K27" s="12"/>
      <c r="L27" s="13"/>
      <c r="M27" s="1"/>
      <c r="N27" s="109" t="s">
        <v>151</v>
      </c>
      <c r="O27" s="12"/>
      <c r="P27" s="1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15.75" customHeight="1">
      <c r="A28" s="1"/>
      <c r="B28" s="22"/>
      <c r="C28" s="23"/>
      <c r="D28" s="24"/>
      <c r="E28" s="1"/>
      <c r="F28" s="22"/>
      <c r="G28" s="23"/>
      <c r="H28" s="24"/>
      <c r="I28" s="1"/>
      <c r="J28" s="22"/>
      <c r="K28" s="23"/>
      <c r="L28" s="24"/>
      <c r="M28" s="1"/>
      <c r="N28" s="22"/>
      <c r="O28" s="23"/>
      <c r="P28" s="24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15.75" customHeight="1">
      <c r="A29" s="1"/>
      <c r="B29" s="22" t="s">
        <v>14</v>
      </c>
      <c r="C29" s="80"/>
      <c r="D29" s="24" t="s">
        <v>15</v>
      </c>
      <c r="E29" s="1"/>
      <c r="F29" s="22" t="s">
        <v>14</v>
      </c>
      <c r="G29" s="34"/>
      <c r="H29" s="24" t="s">
        <v>15</v>
      </c>
      <c r="I29" s="1"/>
      <c r="J29" s="22" t="s">
        <v>14</v>
      </c>
      <c r="K29" s="34"/>
      <c r="L29" s="24" t="s">
        <v>15</v>
      </c>
      <c r="M29" s="1"/>
      <c r="N29" s="22" t="s">
        <v>14</v>
      </c>
      <c r="O29" s="104"/>
      <c r="P29" s="24" t="s">
        <v>15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15.75" customHeight="1">
      <c r="A30" s="1"/>
      <c r="B30" s="25"/>
      <c r="C30" s="26"/>
      <c r="D30" s="27"/>
      <c r="E30" s="1"/>
      <c r="F30" s="25"/>
      <c r="G30" s="26"/>
      <c r="H30" s="27"/>
      <c r="I30" s="1"/>
      <c r="J30" s="25"/>
      <c r="K30" s="26"/>
      <c r="L30" s="27"/>
      <c r="M30" s="1"/>
      <c r="N30" s="25"/>
      <c r="O30" s="26"/>
      <c r="P30" s="2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5.75" customHeight="1">
      <c r="A31" s="1"/>
      <c r="B31" s="22" t="s">
        <v>20</v>
      </c>
      <c r="C31" s="45"/>
      <c r="D31" s="24" t="s">
        <v>13</v>
      </c>
      <c r="E31" s="1"/>
      <c r="F31" s="22" t="s">
        <v>20</v>
      </c>
      <c r="G31" s="45"/>
      <c r="H31" s="24" t="s">
        <v>13</v>
      </c>
      <c r="I31" s="1"/>
      <c r="J31" s="22" t="s">
        <v>20</v>
      </c>
      <c r="K31" s="45"/>
      <c r="L31" s="24" t="s">
        <v>13</v>
      </c>
      <c r="M31" s="1"/>
      <c r="N31" s="22" t="s">
        <v>20</v>
      </c>
      <c r="O31" s="45"/>
      <c r="P31" s="24" t="s">
        <v>13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5.75" customHeight="1">
      <c r="A32" s="1"/>
      <c r="B32" s="22" t="s">
        <v>23</v>
      </c>
      <c r="C32" s="45"/>
      <c r="D32" s="24" t="s">
        <v>13</v>
      </c>
      <c r="E32" s="1"/>
      <c r="F32" s="22" t="s">
        <v>23</v>
      </c>
      <c r="G32" s="45"/>
      <c r="H32" s="24" t="s">
        <v>13</v>
      </c>
      <c r="I32" s="1"/>
      <c r="J32" s="22" t="s">
        <v>23</v>
      </c>
      <c r="K32" s="45"/>
      <c r="L32" s="24" t="s">
        <v>13</v>
      </c>
      <c r="M32" s="1"/>
      <c r="N32" s="22" t="s">
        <v>23</v>
      </c>
      <c r="O32" s="45"/>
      <c r="P32" s="24" t="s">
        <v>13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5.75" customHeight="1">
      <c r="A33" s="1"/>
      <c r="B33" s="22"/>
      <c r="C33" s="48"/>
      <c r="D33" s="24"/>
      <c r="E33" s="1"/>
      <c r="F33" s="22"/>
      <c r="G33" s="48"/>
      <c r="H33" s="24"/>
      <c r="I33" s="1"/>
      <c r="J33" s="22"/>
      <c r="K33" s="48"/>
      <c r="L33" s="24"/>
      <c r="M33" s="1"/>
      <c r="N33" s="22"/>
      <c r="O33" s="48"/>
      <c r="P33" s="24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5.75" customHeight="1">
      <c r="A34" s="1"/>
      <c r="B34" s="22" t="s">
        <v>26</v>
      </c>
      <c r="C34" s="50">
        <f>(C31*C32)+C29</f>
        <v>0</v>
      </c>
      <c r="D34" s="51" t="s">
        <v>15</v>
      </c>
      <c r="E34" s="1"/>
      <c r="F34" s="22" t="s">
        <v>26</v>
      </c>
      <c r="G34" s="50">
        <f>(G31*G32)+G29</f>
        <v>0</v>
      </c>
      <c r="H34" s="51" t="s">
        <v>15</v>
      </c>
      <c r="I34" s="1"/>
      <c r="J34" s="22" t="s">
        <v>26</v>
      </c>
      <c r="K34" s="50">
        <f>(K31*K32)+K29</f>
        <v>0</v>
      </c>
      <c r="L34" s="51" t="s">
        <v>15</v>
      </c>
      <c r="M34" s="1"/>
      <c r="N34" s="22" t="s">
        <v>26</v>
      </c>
      <c r="O34" s="50">
        <f>(O31*O32)+O29</f>
        <v>0</v>
      </c>
      <c r="P34" s="51" t="s">
        <v>15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5.75" customHeight="1">
      <c r="A35" s="1"/>
      <c r="B35" s="22"/>
      <c r="C35" s="63"/>
      <c r="D35" s="24"/>
      <c r="E35" s="1"/>
      <c r="F35" s="22"/>
      <c r="G35" s="63"/>
      <c r="H35" s="24"/>
      <c r="I35" s="1"/>
      <c r="J35" s="22"/>
      <c r="K35" s="63"/>
      <c r="L35" s="24"/>
      <c r="M35" s="1"/>
      <c r="N35" s="22"/>
      <c r="O35" s="63"/>
      <c r="P35" s="24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15.75" customHeight="1">
      <c r="A36" s="1"/>
      <c r="B36" s="59" t="s">
        <v>152</v>
      </c>
      <c r="C36" s="56">
        <f>C34/175</f>
        <v>0</v>
      </c>
      <c r="D36" s="24" t="s">
        <v>22</v>
      </c>
      <c r="E36" s="1"/>
      <c r="F36" s="59" t="s">
        <v>152</v>
      </c>
      <c r="G36" s="56">
        <f>G34/175</f>
        <v>0</v>
      </c>
      <c r="H36" s="24" t="s">
        <v>22</v>
      </c>
      <c r="I36" s="1"/>
      <c r="J36" s="59" t="s">
        <v>152</v>
      </c>
      <c r="K36" s="56">
        <f>K34/175</f>
        <v>0</v>
      </c>
      <c r="L36" s="24" t="s">
        <v>22</v>
      </c>
      <c r="M36" s="1"/>
      <c r="N36" s="59" t="s">
        <v>152</v>
      </c>
      <c r="O36" s="56">
        <f>O34/175</f>
        <v>0</v>
      </c>
      <c r="P36" s="24" t="s">
        <v>22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15.75" customHeight="1">
      <c r="A37" s="1"/>
      <c r="B37" s="59"/>
      <c r="C37" s="63"/>
      <c r="D37" s="24"/>
      <c r="E37" s="1"/>
      <c r="F37" s="59"/>
      <c r="G37" s="63"/>
      <c r="H37" s="24"/>
      <c r="I37" s="1"/>
      <c r="J37" s="59"/>
      <c r="K37" s="63"/>
      <c r="L37" s="24"/>
      <c r="M37" s="1"/>
      <c r="N37" s="59"/>
      <c r="O37" s="63"/>
      <c r="P37" s="24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5.75" customHeight="1">
      <c r="A38" s="1"/>
      <c r="B38" s="22" t="s">
        <v>73</v>
      </c>
      <c r="C38" s="66" t="str">
        <f>IF(C34,C34*0.5,"0")</f>
        <v>0</v>
      </c>
      <c r="D38" s="67" t="s">
        <v>40</v>
      </c>
      <c r="E38" s="1"/>
      <c r="F38" s="22" t="s">
        <v>73</v>
      </c>
      <c r="G38" s="66" t="str">
        <f>IF(G34,G34*0.5,"0")</f>
        <v>0</v>
      </c>
      <c r="H38" s="67" t="s">
        <v>40</v>
      </c>
      <c r="I38" s="1"/>
      <c r="J38" s="22" t="s">
        <v>73</v>
      </c>
      <c r="K38" s="66" t="str">
        <f>IF(K34,K34*0.5,"0")</f>
        <v>0</v>
      </c>
      <c r="L38" s="67" t="s">
        <v>40</v>
      </c>
      <c r="M38" s="1"/>
      <c r="N38" s="22" t="s">
        <v>73</v>
      </c>
      <c r="O38" s="66" t="str">
        <f>IF(O34,O34*0.5,"0")</f>
        <v>0</v>
      </c>
      <c r="P38" s="67" t="s">
        <v>40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15.75" customHeight="1">
      <c r="A39" s="1"/>
      <c r="B39" s="22"/>
      <c r="C39" s="62"/>
      <c r="D39" s="24"/>
      <c r="E39" s="1"/>
      <c r="F39" s="22"/>
      <c r="G39" s="62"/>
      <c r="H39" s="24"/>
      <c r="I39" s="1"/>
      <c r="J39" s="22"/>
      <c r="K39" s="62"/>
      <c r="L39" s="24"/>
      <c r="M39" s="1"/>
      <c r="N39" s="22"/>
      <c r="O39" s="62"/>
      <c r="P39" s="24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5.75" customHeight="1">
      <c r="A40" s="1"/>
      <c r="B40" s="22" t="s">
        <v>74</v>
      </c>
      <c r="C40" s="56" t="str">
        <f>IF(C34,C34/170,"0")</f>
        <v>0</v>
      </c>
      <c r="D40" s="24" t="s">
        <v>22</v>
      </c>
      <c r="E40" s="1"/>
      <c r="F40" s="22" t="s">
        <v>75</v>
      </c>
      <c r="G40" s="56" t="str">
        <f>IF(G34,G34/175,"0")</f>
        <v>0</v>
      </c>
      <c r="H40" s="24" t="s">
        <v>22</v>
      </c>
      <c r="I40" s="1"/>
      <c r="J40" s="22" t="s">
        <v>162</v>
      </c>
      <c r="K40" s="56" t="str">
        <f>IF(K34,K34/175,"0")</f>
        <v>0</v>
      </c>
      <c r="L40" s="24" t="s">
        <v>22</v>
      </c>
      <c r="M40" s="1"/>
      <c r="N40" s="22" t="s">
        <v>163</v>
      </c>
      <c r="O40" s="56" t="str">
        <f>IF(O34,O34/175,"0")</f>
        <v>0</v>
      </c>
      <c r="P40" s="24" t="s">
        <v>22</v>
      </c>
      <c r="Q40" s="5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5.75" customHeight="1">
      <c r="A41" s="1"/>
      <c r="B41" s="22" t="s">
        <v>77</v>
      </c>
      <c r="C41" s="66" t="str">
        <f>IF(C34,C34*0.5,"0")</f>
        <v>0</v>
      </c>
      <c r="D41" s="24" t="s">
        <v>40</v>
      </c>
      <c r="E41" s="1"/>
      <c r="F41" s="22" t="s">
        <v>77</v>
      </c>
      <c r="G41" s="66" t="str">
        <f>IF(G34,G34*0.5,"0")</f>
        <v>0</v>
      </c>
      <c r="H41" s="24" t="s">
        <v>40</v>
      </c>
      <c r="I41" s="1"/>
      <c r="J41" s="22" t="s">
        <v>77</v>
      </c>
      <c r="K41" s="66" t="str">
        <f>IF(K34,K34*0.5,"0")</f>
        <v>0</v>
      </c>
      <c r="L41" s="24" t="s">
        <v>40</v>
      </c>
      <c r="M41" s="1"/>
      <c r="N41" s="22" t="s">
        <v>77</v>
      </c>
      <c r="O41" s="66" t="str">
        <f>IF(O34,O34*0.5,"0")</f>
        <v>0</v>
      </c>
      <c r="P41" s="24" t="s">
        <v>40</v>
      </c>
      <c r="Q41" s="5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5.75" customHeight="1">
      <c r="A42" s="1"/>
      <c r="B42" s="22"/>
      <c r="C42" s="81"/>
      <c r="D42" s="24"/>
      <c r="E42" s="1"/>
      <c r="F42" s="22"/>
      <c r="G42" s="81"/>
      <c r="H42" s="24"/>
      <c r="I42" s="1"/>
      <c r="J42" s="22"/>
      <c r="K42" s="81"/>
      <c r="L42" s="24"/>
      <c r="M42" s="1"/>
      <c r="N42" s="22"/>
      <c r="O42" s="81"/>
      <c r="P42" s="2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15.75" customHeight="1">
      <c r="A43" s="1"/>
      <c r="B43" s="22" t="s">
        <v>164</v>
      </c>
      <c r="C43" s="56" t="str">
        <f>IF(C34,C34/140,"0")</f>
        <v>0</v>
      </c>
      <c r="D43" s="24" t="s">
        <v>22</v>
      </c>
      <c r="E43" s="1"/>
      <c r="F43" s="22" t="s">
        <v>165</v>
      </c>
      <c r="G43" s="56" t="str">
        <f>IF(G34,G34/140,"0")</f>
        <v>0</v>
      </c>
      <c r="H43" s="24" t="s">
        <v>22</v>
      </c>
      <c r="I43" s="1"/>
      <c r="J43" s="22" t="s">
        <v>166</v>
      </c>
      <c r="K43" s="56" t="str">
        <f>IF(K34,K34/140,"0")</f>
        <v>0</v>
      </c>
      <c r="L43" s="24" t="s">
        <v>22</v>
      </c>
      <c r="M43" s="1"/>
      <c r="N43" s="22" t="s">
        <v>163</v>
      </c>
      <c r="O43" s="56" t="str">
        <f>IF(O34,O34/85,"0")</f>
        <v>0</v>
      </c>
      <c r="P43" s="24" t="s">
        <v>22</v>
      </c>
      <c r="Q43" s="5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5.75" customHeight="1">
      <c r="A44" s="1"/>
      <c r="B44" s="22" t="s">
        <v>167</v>
      </c>
      <c r="C44" s="56" t="str">
        <f>IF(C34,C34/200,"0")</f>
        <v>0</v>
      </c>
      <c r="D44" s="24" t="s">
        <v>22</v>
      </c>
      <c r="E44" s="1"/>
      <c r="F44" s="22" t="s">
        <v>168</v>
      </c>
      <c r="G44" s="56" t="str">
        <f>IF(G34,G34/200,"0")</f>
        <v>0</v>
      </c>
      <c r="H44" s="24" t="s">
        <v>22</v>
      </c>
      <c r="I44" s="57"/>
      <c r="J44" s="22" t="s">
        <v>169</v>
      </c>
      <c r="K44" s="56" t="str">
        <f>IF(K34,K34/200,"0")</f>
        <v>0</v>
      </c>
      <c r="L44" s="24" t="s">
        <v>22</v>
      </c>
      <c r="M44" s="1"/>
      <c r="N44" s="22"/>
      <c r="O44" s="69"/>
      <c r="P44" s="2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5.75" customHeight="1">
      <c r="A45" s="1"/>
      <c r="B45" s="22"/>
      <c r="C45" s="69"/>
      <c r="D45" s="24"/>
      <c r="E45" s="1"/>
      <c r="F45" s="22"/>
      <c r="G45" s="69"/>
      <c r="H45" s="24"/>
      <c r="I45" s="57"/>
      <c r="J45" s="22"/>
      <c r="K45" s="69"/>
      <c r="L45" s="24"/>
      <c r="M45" s="1"/>
      <c r="N45" s="59" t="s">
        <v>170</v>
      </c>
      <c r="O45" s="56">
        <f>O36</f>
        <v>0</v>
      </c>
      <c r="P45" s="24" t="s">
        <v>22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5.75" customHeight="1">
      <c r="A46" s="1"/>
      <c r="B46" s="22"/>
      <c r="C46" s="69"/>
      <c r="D46" s="24"/>
      <c r="E46" s="1"/>
      <c r="F46" s="22"/>
      <c r="G46" s="69"/>
      <c r="H46" s="24"/>
      <c r="I46" s="1"/>
      <c r="J46" s="22"/>
      <c r="K46" s="69"/>
      <c r="L46" s="24"/>
      <c r="M46" s="1"/>
      <c r="N46" s="59" t="s">
        <v>171</v>
      </c>
      <c r="O46" s="56" t="str">
        <f>IF(O34,O38+O41,"0.00")</f>
        <v>0.00</v>
      </c>
      <c r="P46" s="24" t="s">
        <v>40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5.75" customHeight="1">
      <c r="A47" s="1"/>
      <c r="B47" s="59" t="s">
        <v>170</v>
      </c>
      <c r="C47" s="56">
        <f>C36</f>
        <v>0</v>
      </c>
      <c r="D47" s="24" t="s">
        <v>22</v>
      </c>
      <c r="E47" s="1"/>
      <c r="F47" s="59" t="s">
        <v>170</v>
      </c>
      <c r="G47" s="56">
        <f>G36</f>
        <v>0</v>
      </c>
      <c r="H47" s="24" t="s">
        <v>22</v>
      </c>
      <c r="I47" s="1"/>
      <c r="J47" s="59" t="s">
        <v>170</v>
      </c>
      <c r="K47" s="56">
        <f>K36</f>
        <v>0</v>
      </c>
      <c r="L47" s="24" t="s">
        <v>22</v>
      </c>
      <c r="M47" s="1"/>
      <c r="N47" s="59" t="s">
        <v>172</v>
      </c>
      <c r="O47" s="56" t="str">
        <f>IF(O34,O40+O43,"0.00")</f>
        <v>0.00</v>
      </c>
      <c r="P47" s="24" t="s">
        <v>40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5.75" customHeight="1">
      <c r="A48" s="1"/>
      <c r="B48" s="59" t="s">
        <v>79</v>
      </c>
      <c r="C48" s="66" t="str">
        <f>IF(C34,C38+C41,"0.00")</f>
        <v>0.00</v>
      </c>
      <c r="D48" s="24" t="s">
        <v>40</v>
      </c>
      <c r="E48" s="1"/>
      <c r="F48" s="59" t="s">
        <v>79</v>
      </c>
      <c r="G48" s="66" t="str">
        <f>IF(G34,G38+G41,"0.00")</f>
        <v>0.00</v>
      </c>
      <c r="H48" s="24" t="s">
        <v>40</v>
      </c>
      <c r="I48" s="1"/>
      <c r="J48" s="59" t="s">
        <v>79</v>
      </c>
      <c r="K48" s="66" t="str">
        <f>IF(K34,K38+K41,"0.00")</f>
        <v>0.00</v>
      </c>
      <c r="L48" s="24" t="s">
        <v>40</v>
      </c>
      <c r="M48" s="1"/>
      <c r="N48" s="59"/>
      <c r="O48" s="111"/>
      <c r="P48" s="2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5.75" customHeight="1">
      <c r="A49" s="1"/>
      <c r="B49" s="59" t="s">
        <v>51</v>
      </c>
      <c r="C49" s="56">
        <f>C40+C43+C44</f>
        <v>0</v>
      </c>
      <c r="D49" s="24" t="s">
        <v>22</v>
      </c>
      <c r="E49" s="1"/>
      <c r="F49" s="59" t="s">
        <v>52</v>
      </c>
      <c r="G49" s="56">
        <f>G40+G43+G44</f>
        <v>0</v>
      </c>
      <c r="H49" s="24" t="s">
        <v>22</v>
      </c>
      <c r="I49" s="1"/>
      <c r="J49" s="59" t="s">
        <v>172</v>
      </c>
      <c r="K49" s="56">
        <f>K40+K43+K44</f>
        <v>0</v>
      </c>
      <c r="L49" s="24" t="s">
        <v>22</v>
      </c>
      <c r="M49" s="1"/>
      <c r="N49" s="112" t="s">
        <v>159</v>
      </c>
      <c r="O49" s="81"/>
      <c r="P49" s="2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5.75" customHeight="1">
      <c r="A50" s="1"/>
      <c r="B50" s="22"/>
      <c r="C50" s="63"/>
      <c r="D50" s="24"/>
      <c r="E50" s="1"/>
      <c r="F50" s="22"/>
      <c r="G50" s="69"/>
      <c r="H50" s="24"/>
      <c r="I50" s="1"/>
      <c r="J50" s="22"/>
      <c r="K50" s="63"/>
      <c r="L50" s="24"/>
      <c r="M50" s="1"/>
      <c r="N50" s="59" t="s">
        <v>90</v>
      </c>
      <c r="O50" s="56" t="str">
        <f>IF(O34,O34/300,"0.00")</f>
        <v>0.00</v>
      </c>
      <c r="P50" s="24" t="s">
        <v>22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5.75" customHeight="1">
      <c r="A51" s="1"/>
      <c r="B51" s="59" t="s">
        <v>55</v>
      </c>
      <c r="C51" s="56" t="str">
        <f>IF(C30&gt;0,C43/5,"0.00")</f>
        <v>0.00</v>
      </c>
      <c r="D51" s="67" t="s">
        <v>56</v>
      </c>
      <c r="E51" s="1"/>
      <c r="F51" s="59" t="s">
        <v>57</v>
      </c>
      <c r="G51" s="56" t="str">
        <f>IF(G34,G34/70,"0.00")</f>
        <v>0.00</v>
      </c>
      <c r="H51" s="24" t="s">
        <v>22</v>
      </c>
      <c r="I51" s="1"/>
      <c r="J51" s="59" t="s">
        <v>55</v>
      </c>
      <c r="K51" s="56" t="str">
        <f>IF(K34&gt;0,K44/5,"0.00")</f>
        <v>0.00</v>
      </c>
      <c r="L51" s="67" t="s">
        <v>56</v>
      </c>
      <c r="M51" s="1"/>
      <c r="N51" s="59" t="s">
        <v>91</v>
      </c>
      <c r="O51" s="56" t="str">
        <f>IF(O34,O34/300,"0.00")</f>
        <v>0.00</v>
      </c>
      <c r="P51" s="24" t="s">
        <v>22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5.75" customHeight="1">
      <c r="A52" s="1"/>
      <c r="B52" s="22"/>
      <c r="C52" s="56">
        <f>C43*4</f>
        <v>0</v>
      </c>
      <c r="D52" s="67" t="s">
        <v>59</v>
      </c>
      <c r="E52" s="1"/>
      <c r="F52" s="22"/>
      <c r="G52" s="63"/>
      <c r="H52" s="24"/>
      <c r="I52" s="1"/>
      <c r="J52" s="22"/>
      <c r="K52" s="56">
        <f>K43*4</f>
        <v>0</v>
      </c>
      <c r="L52" s="67" t="s">
        <v>59</v>
      </c>
      <c r="M52" s="1"/>
      <c r="N52" s="59" t="s">
        <v>92</v>
      </c>
      <c r="O52" s="56" t="str">
        <f>IF(O34,O34/1500,"0.00")</f>
        <v>0.00</v>
      </c>
      <c r="P52" s="24" t="s">
        <v>22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5.75" customHeight="1">
      <c r="A53" s="1"/>
      <c r="B53" s="73" t="s">
        <v>61</v>
      </c>
      <c r="C53" s="74"/>
      <c r="D53" s="55"/>
      <c r="E53" s="1"/>
      <c r="F53" s="22" t="s">
        <v>55</v>
      </c>
      <c r="G53" s="56" t="str">
        <f>IF(G30&gt;0,G44/5,"0.00")</f>
        <v>0.00</v>
      </c>
      <c r="H53" s="67" t="s">
        <v>56</v>
      </c>
      <c r="I53" s="1"/>
      <c r="J53" s="73"/>
      <c r="K53" s="74"/>
      <c r="L53" s="55"/>
      <c r="M53" s="1"/>
      <c r="N53" s="22"/>
      <c r="O53" s="63"/>
      <c r="P53" s="2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5.75" customHeight="1">
      <c r="A54" s="1"/>
      <c r="B54" s="1"/>
      <c r="C54" s="1"/>
      <c r="D54" s="1"/>
      <c r="E54" s="1"/>
      <c r="F54" s="22"/>
      <c r="G54" s="56">
        <f>G44*4</f>
        <v>0</v>
      </c>
      <c r="H54" s="67" t="s">
        <v>59</v>
      </c>
      <c r="I54" s="1"/>
      <c r="J54" s="1"/>
      <c r="K54" s="1"/>
      <c r="L54" s="1"/>
      <c r="M54" s="1"/>
      <c r="N54" s="22" t="s">
        <v>160</v>
      </c>
      <c r="O54" s="56" t="str">
        <f>IF(O34&gt;0,O50/5,"0.00")</f>
        <v>0.00</v>
      </c>
      <c r="P54" s="113" t="s">
        <v>56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5.75" customHeight="1">
      <c r="A55" s="1"/>
      <c r="B55" s="1"/>
      <c r="C55" s="1"/>
      <c r="D55" s="1"/>
      <c r="E55" s="1"/>
      <c r="F55" s="75"/>
      <c r="G55" s="74"/>
      <c r="H55" s="55"/>
      <c r="I55" s="1"/>
      <c r="J55" s="1"/>
      <c r="K55" s="1"/>
      <c r="L55" s="1"/>
      <c r="M55" s="1"/>
      <c r="N55" s="22"/>
      <c r="O55" s="56">
        <f>O44*4</f>
        <v>0</v>
      </c>
      <c r="P55" s="67" t="s">
        <v>59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75"/>
      <c r="O56" s="74"/>
      <c r="P56" s="114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5.75" customHeight="1">
      <c r="B99" s="1"/>
      <c r="C99" s="1"/>
      <c r="D99" s="1"/>
      <c r="F99" s="1"/>
      <c r="G99" s="1"/>
      <c r="H99" s="1"/>
      <c r="J99" s="1"/>
      <c r="K99" s="1"/>
      <c r="L99" s="1"/>
      <c r="N99" s="1"/>
      <c r="O99" s="1"/>
      <c r="P99" s="1"/>
    </row>
    <row r="100" ht="15.75" customHeight="1">
      <c r="N100" s="1"/>
      <c r="O100" s="1"/>
      <c r="P100" s="1"/>
    </row>
    <row r="101" ht="15.75" customHeight="1">
      <c r="N101" s="1"/>
      <c r="O101" s="1"/>
      <c r="P101" s="1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D2"/>
    <mergeCell ref="F2:H2"/>
    <mergeCell ref="J2:L2"/>
    <mergeCell ref="N2:P2"/>
    <mergeCell ref="F3:H3"/>
    <mergeCell ref="J3:L3"/>
    <mergeCell ref="N3:P3"/>
    <mergeCell ref="N26:P26"/>
    <mergeCell ref="N27:P27"/>
    <mergeCell ref="B3:D3"/>
    <mergeCell ref="B26:D26"/>
    <mergeCell ref="F26:H26"/>
    <mergeCell ref="J26:L26"/>
    <mergeCell ref="B27:D27"/>
    <mergeCell ref="F27:H27"/>
    <mergeCell ref="J27:L27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7.86"/>
    <col customWidth="1" min="4" max="4" width="7.57"/>
    <col customWidth="1" min="5" max="5" width="7.71"/>
    <col customWidth="1" min="6" max="6" width="24.86"/>
    <col customWidth="1" min="7" max="7" width="7.86"/>
    <col customWidth="1" min="8" max="8" width="7.57"/>
    <col customWidth="1" min="9" max="9" width="7.71"/>
    <col customWidth="1" min="10" max="10" width="24.86"/>
    <col customWidth="1" min="11" max="11" width="7.86"/>
    <col customWidth="1" min="12" max="12" width="7.57"/>
    <col customWidth="1" min="13" max="32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0.25" customHeight="1">
      <c r="A2" s="1"/>
      <c r="B2" s="120" t="s">
        <v>173</v>
      </c>
      <c r="C2" s="3"/>
      <c r="D2" s="4"/>
      <c r="E2" s="1"/>
      <c r="F2" s="120" t="s">
        <v>173</v>
      </c>
      <c r="G2" s="3"/>
      <c r="H2" s="4"/>
      <c r="I2" s="1"/>
      <c r="J2" s="120" t="s">
        <v>174</v>
      </c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20.25" customHeight="1">
      <c r="A3" s="1"/>
      <c r="B3" s="121" t="s">
        <v>175</v>
      </c>
      <c r="C3" s="12"/>
      <c r="D3" s="13"/>
      <c r="E3" s="1"/>
      <c r="F3" s="121" t="s">
        <v>176</v>
      </c>
      <c r="G3" s="12"/>
      <c r="H3" s="13"/>
      <c r="I3" s="1"/>
      <c r="J3" s="121" t="s">
        <v>177</v>
      </c>
      <c r="K3" s="12"/>
      <c r="L3" s="1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>
      <c r="A4" s="1"/>
      <c r="B4" s="22"/>
      <c r="C4" s="23"/>
      <c r="D4" s="24"/>
      <c r="E4" s="1"/>
      <c r="F4" s="22"/>
      <c r="G4" s="23"/>
      <c r="H4" s="24"/>
      <c r="I4" s="1"/>
      <c r="J4" s="22"/>
      <c r="K4" s="23"/>
      <c r="L4" s="2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>
      <c r="A5" s="1"/>
      <c r="B5" s="22" t="s">
        <v>14</v>
      </c>
      <c r="C5" s="106"/>
      <c r="D5" s="67"/>
      <c r="E5" s="1"/>
      <c r="F5" s="22" t="s">
        <v>14</v>
      </c>
      <c r="G5" s="106"/>
      <c r="H5" s="67"/>
      <c r="I5" s="1"/>
      <c r="J5" s="22" t="s">
        <v>14</v>
      </c>
      <c r="K5" s="104"/>
      <c r="L5" s="6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>
      <c r="A6" s="1"/>
      <c r="B6" s="25"/>
      <c r="C6" s="107"/>
      <c r="D6" s="122"/>
      <c r="E6" s="1"/>
      <c r="F6" s="25"/>
      <c r="G6" s="107"/>
      <c r="H6" s="122"/>
      <c r="I6" s="1"/>
      <c r="J6" s="25"/>
      <c r="K6" s="107"/>
      <c r="L6" s="12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>
      <c r="A7" s="1"/>
      <c r="B7" s="22" t="s">
        <v>20</v>
      </c>
      <c r="C7" s="104"/>
      <c r="D7" s="67"/>
      <c r="E7" s="1"/>
      <c r="F7" s="22" t="s">
        <v>20</v>
      </c>
      <c r="G7" s="104"/>
      <c r="H7" s="67"/>
      <c r="I7" s="1"/>
      <c r="J7" s="22" t="s">
        <v>20</v>
      </c>
      <c r="K7" s="104"/>
      <c r="L7" s="6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>
      <c r="A8" s="1"/>
      <c r="B8" s="22" t="s">
        <v>23</v>
      </c>
      <c r="C8" s="104"/>
      <c r="D8" s="67"/>
      <c r="E8" s="1"/>
      <c r="F8" s="22" t="s">
        <v>23</v>
      </c>
      <c r="G8" s="104"/>
      <c r="H8" s="67"/>
      <c r="I8" s="1"/>
      <c r="J8" s="22" t="s">
        <v>23</v>
      </c>
      <c r="K8" s="104"/>
      <c r="L8" s="6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>
      <c r="A9" s="1"/>
      <c r="B9" s="22"/>
      <c r="C9" s="48"/>
      <c r="D9" s="67"/>
      <c r="E9" s="1"/>
      <c r="F9" s="22"/>
      <c r="G9" s="48"/>
      <c r="H9" s="67"/>
      <c r="I9" s="1"/>
      <c r="J9" s="22"/>
      <c r="K9" s="48"/>
      <c r="L9" s="6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>
      <c r="A10" s="1"/>
      <c r="B10" s="22" t="s">
        <v>26</v>
      </c>
      <c r="C10" s="50">
        <f>(C7*C8)+C5</f>
        <v>0</v>
      </c>
      <c r="D10" s="123"/>
      <c r="E10" s="1"/>
      <c r="F10" s="22" t="s">
        <v>26</v>
      </c>
      <c r="G10" s="50">
        <f>(G7*G8)+G5</f>
        <v>0</v>
      </c>
      <c r="H10" s="123"/>
      <c r="I10" s="1"/>
      <c r="J10" s="22" t="s">
        <v>26</v>
      </c>
      <c r="K10" s="50">
        <f>(K7*K8)+K5</f>
        <v>0</v>
      </c>
      <c r="L10" s="12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>
      <c r="A11" s="1"/>
      <c r="B11" s="22"/>
      <c r="C11" s="63"/>
      <c r="D11" s="67"/>
      <c r="E11" s="110"/>
      <c r="F11" s="22"/>
      <c r="G11" s="63"/>
      <c r="H11" s="67"/>
      <c r="I11" s="110"/>
      <c r="J11" s="22"/>
      <c r="K11" s="63"/>
      <c r="L11" s="6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>
      <c r="A12" s="1"/>
      <c r="B12" s="22" t="s">
        <v>178</v>
      </c>
      <c r="C12" s="50" t="str">
        <f>IF(C10,C10/50,"")</f>
        <v/>
      </c>
      <c r="D12" s="67" t="s">
        <v>179</v>
      </c>
      <c r="E12" s="1"/>
      <c r="F12" s="22" t="s">
        <v>178</v>
      </c>
      <c r="G12" s="50" t="str">
        <f>IF(G10,G10/50,"")</f>
        <v/>
      </c>
      <c r="H12" s="67" t="s">
        <v>179</v>
      </c>
      <c r="I12" s="1"/>
      <c r="J12" s="22" t="s">
        <v>178</v>
      </c>
      <c r="K12" s="50" t="str">
        <f>IF(K10,K10/50,"")</f>
        <v/>
      </c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>
      <c r="A13" s="1"/>
      <c r="B13" s="22" t="s">
        <v>180</v>
      </c>
      <c r="C13" s="56" t="str">
        <f>IF(C10,C10/2,"")</f>
        <v/>
      </c>
      <c r="D13" s="67" t="s">
        <v>40</v>
      </c>
      <c r="E13" s="1"/>
      <c r="F13" s="22" t="s">
        <v>70</v>
      </c>
      <c r="G13" s="56" t="str">
        <f>IF(G10,G10*1,"")</f>
        <v/>
      </c>
      <c r="H13" s="67" t="s">
        <v>40</v>
      </c>
      <c r="I13" s="1"/>
      <c r="J13" s="22" t="s">
        <v>70</v>
      </c>
      <c r="K13" s="56" t="str">
        <f>IF(K10,K10*1,"")</f>
        <v/>
      </c>
      <c r="L13" s="2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>
      <c r="A14" s="1"/>
      <c r="B14" s="22"/>
      <c r="C14" s="69"/>
      <c r="D14" s="67"/>
      <c r="E14" s="1"/>
      <c r="F14" s="22"/>
      <c r="G14" s="69"/>
      <c r="H14" s="24"/>
      <c r="I14" s="1"/>
      <c r="J14" s="22"/>
      <c r="K14" s="69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>
      <c r="A15" s="1"/>
      <c r="B15" s="22" t="s">
        <v>181</v>
      </c>
      <c r="C15" s="56" t="str">
        <f>IF(C10,C10/110,"")</f>
        <v/>
      </c>
      <c r="D15" s="67" t="s">
        <v>22</v>
      </c>
      <c r="E15" s="1"/>
      <c r="F15" s="22" t="s">
        <v>181</v>
      </c>
      <c r="G15" s="56" t="str">
        <f>IF(G10,G10/100,"")</f>
        <v/>
      </c>
      <c r="H15" s="24" t="s">
        <v>22</v>
      </c>
      <c r="I15" s="1"/>
      <c r="J15" s="22" t="s">
        <v>181</v>
      </c>
      <c r="K15" s="56" t="str">
        <f>IF(K10,K10/175,"")</f>
        <v/>
      </c>
      <c r="L15" s="2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>
      <c r="A16" s="1"/>
      <c r="B16" s="22" t="s">
        <v>182</v>
      </c>
      <c r="C16" s="56" t="str">
        <f>IF(C10,C15/2,"")</f>
        <v/>
      </c>
      <c r="D16" s="67" t="s">
        <v>183</v>
      </c>
      <c r="E16" s="1"/>
      <c r="F16" s="75"/>
      <c r="G16" s="74"/>
      <c r="H16" s="55"/>
      <c r="I16" s="1"/>
      <c r="J16" s="22" t="s">
        <v>70</v>
      </c>
      <c r="K16" s="56" t="str">
        <f>IF(K10,K10/2,"")</f>
        <v/>
      </c>
      <c r="L16" s="2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>
      <c r="A17" s="1"/>
      <c r="B17" s="22"/>
      <c r="C17" s="69"/>
      <c r="D17" s="67"/>
      <c r="E17" s="1"/>
      <c r="F17" s="1"/>
      <c r="G17" s="1"/>
      <c r="H17" s="1"/>
      <c r="I17" s="1"/>
      <c r="J17" s="22"/>
      <c r="K17" s="69"/>
      <c r="L17" s="2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>
      <c r="A18" s="1"/>
      <c r="B18" s="22" t="s">
        <v>184</v>
      </c>
      <c r="C18" s="56" t="str">
        <f>IF(C10,C10/140,"")</f>
        <v/>
      </c>
      <c r="D18" s="67" t="s">
        <v>22</v>
      </c>
      <c r="E18" s="1"/>
      <c r="F18" s="1"/>
      <c r="G18" s="1"/>
      <c r="H18" s="1"/>
      <c r="I18" s="1"/>
      <c r="J18" s="22" t="s">
        <v>181</v>
      </c>
      <c r="K18" s="56" t="str">
        <f>IF(K10,K10/140,"")</f>
        <v/>
      </c>
      <c r="L18" s="24" t="s">
        <v>22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>
      <c r="A19" s="1"/>
      <c r="B19" s="75"/>
      <c r="C19" s="74"/>
      <c r="D19" s="55"/>
      <c r="E19" s="1"/>
      <c r="F19" s="1"/>
      <c r="G19" s="1"/>
      <c r="H19" s="1"/>
      <c r="I19" s="1"/>
      <c r="J19" s="22" t="s">
        <v>181</v>
      </c>
      <c r="K19" s="56" t="str">
        <f>IF(K10,K10/200,"")</f>
        <v/>
      </c>
      <c r="L19" s="24" t="s">
        <v>22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75"/>
      <c r="K20" s="74"/>
      <c r="L20" s="5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5.75" customHeight="1">
      <c r="A109" s="1"/>
      <c r="B109" s="1"/>
      <c r="C109" s="1"/>
      <c r="D109" s="1"/>
      <c r="E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F2:H2"/>
    <mergeCell ref="J2:L2"/>
    <mergeCell ref="B3:D3"/>
    <mergeCell ref="F3:H3"/>
    <mergeCell ref="J3:L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